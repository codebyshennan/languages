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 &amp; TIPS" sheetId="1" state="visible" r:id="rId3"/>
    <sheet name="📚 All Words (Combined)" sheetId="2" state="visible" r:id="rId4"/>
  </sheets>
  <definedNames>
    <definedName function="false" hidden="true" localSheetId="1" name="_xlnm._FilterDatabase" vbProcedure="false">'📚 All Words (Combined)'!$A$1:$H$1963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<sst xmlns="http://schemas.openxmlformats.org/spreadsheetml/2006/main" count="12774" uniqueCount="8309">
  <si>
    <t xml:space="preserve">🐱  Meo's Vietnamese B2 Word List — COMPLETE SERIES (All 5 Parts)</t>
  </si>
  <si>
    <t xml:space="preserve">SERIES OVERVIEW</t>
  </si>
  <si>
    <t xml:space="preserve">Part</t>
  </si>
  <si>
    <t xml:space="preserve">Words</t>
  </si>
  <si>
    <t xml:space="preserve">Coverage</t>
  </si>
  <si>
    <t xml:space="preserve">Part 1 — Foundations</t>
  </si>
  <si>
    <t xml:space="preserve">Pronouns, Numbers, Time, Core Verbs, Adjectives, Food, Places, Body &amp; more</t>
  </si>
  <si>
    <t xml:space="preserve">Part 2 — Intermediate</t>
  </si>
  <si>
    <t xml:space="preserve">Business, Legal, Tech, Health, Culture, Abstract Concepts, Grammar &amp; Particles</t>
  </si>
  <si>
    <t xml:space="preserve">Part 3 — Advanced</t>
  </si>
  <si>
    <t xml:space="preserve">Idioms, Formal Writing, Spoken Southern, Economics, Arts, Discourse Markers</t>
  </si>
  <si>
    <t xml:space="preserve">Part 4 — Completion</t>
  </si>
  <si>
    <t xml:space="preserve">Personality, Cause/Effect, Academic, Emotions, Animals, High Frequency Fill</t>
  </si>
  <si>
    <t xml:space="preserve">Part 5 — Final</t>
  </si>
  <si>
    <t xml:space="preserve">Work, Shopping, Apps, Tones, Grammar Structures, Essential Fill</t>
  </si>
  <si>
    <t xml:space="preserve">🏆  GRAND TOTAL — Complete Series</t>
  </si>
  <si>
    <t xml:space="preserve">🎯 Series complete! Target: 2,000 words for B2 by June 2026</t>
  </si>
  <si>
    <t xml:space="preserve">📅  STUDY PACE GUIDE — B2 BY JUNE 2026</t>
  </si>
  <si>
    <t xml:space="preserve">Period</t>
  </si>
  <si>
    <t xml:space="preserve">Focus</t>
  </si>
  <si>
    <t xml:space="preserve">Method</t>
  </si>
  <si>
    <t xml:space="preserve">Feb–Mar 2026</t>
  </si>
  <si>
    <t xml:space="preserve">Part 1 (659 words)</t>
  </si>
  <si>
    <t xml:space="preserve">~15 words/day — Foundation sprint</t>
  </si>
  <si>
    <t xml:space="preserve">Mar–Apr 2026</t>
  </si>
  <si>
    <t xml:space="preserve">Part 2 (524 words)</t>
  </si>
  <si>
    <t xml:space="preserve">~12 words/day — Build intermediate vocab</t>
  </si>
  <si>
    <t xml:space="preserve">Apr–May 2026</t>
  </si>
  <si>
    <t xml:space="preserve">Parts 3+4 (623 words)</t>
  </si>
  <si>
    <t xml:space="preserve">~10 words/day — Advanced push</t>
  </si>
  <si>
    <t xml:space="preserve">May–Jun 2026</t>
  </si>
  <si>
    <t xml:space="preserve">Part 5 + Review</t>
  </si>
  <si>
    <t xml:space="preserve">Anki SRS + shadowing + conversation practice</t>
  </si>
  <si>
    <t xml:space="preserve">Jun 2026</t>
  </si>
  <si>
    <t xml:space="preserve">B2 Test</t>
  </si>
  <si>
    <t xml:space="preserve">You've got this! Sino-Viet advantage is huge 💪</t>
  </si>
  <si>
    <t xml:space="preserve">  PART 1  —  FOUNDATIONS</t>
  </si>
  <si>
    <t xml:space="preserve">Southern Vietnamese (Saigon) | Cantonese tones | Sino-Vietnamese connections highlighted</t>
  </si>
  <si>
    <t xml:space="preserve">Category</t>
  </si>
  <si>
    <t xml:space="preserve">Key Learning Tip</t>
  </si>
  <si>
    <t xml:space="preserve">Pronouns &amp; People</t>
  </si>
  <si>
    <t xml:space="preserve">Master pronouns first — they reflect social relationships and change constantly</t>
  </si>
  <si>
    <t xml:space="preserve">Numbers</t>
  </si>
  <si>
    <t xml:space="preserve">Sino-Viet numbers map closely to Cantonese: mot=jat, hai=ji, ba=saam...</t>
  </si>
  <si>
    <t xml:space="preserve">Time</t>
  </si>
  <si>
    <t xml:space="preserve">No verb conjugation! Use da(past)/dang(now)/se(future) particles instead</t>
  </si>
  <si>
    <t xml:space="preserve">Greetings</t>
  </si>
  <si>
    <t xml:space="preserve">Essential daily phrases — 'da' is Southern polite 'yes', not Northern 'vang'</t>
  </si>
  <si>
    <t xml:space="preserve">Core Verbs</t>
  </si>
  <si>
    <t xml:space="preserve">Backbone vocabulary — learn these 80 verbs before anything else</t>
  </si>
  <si>
    <t xml:space="preserve">Adjectives</t>
  </si>
  <si>
    <t xml:space="preserve">Adjectives come AFTER the noun (opposite of English but like some Chinese patterns)</t>
  </si>
  <si>
    <t xml:space="preserve">Question Words</t>
  </si>
  <si>
    <t xml:space="preserve">Learn these 11 words and you can ask almost any question</t>
  </si>
  <si>
    <t xml:space="preserve">Prepositions</t>
  </si>
  <si>
    <t xml:space="preserve">Spatial and relational words — critical for giving/following directions</t>
  </si>
  <si>
    <t xml:space="preserve">Connectors</t>
  </si>
  <si>
    <t xml:space="preserve">Build complex sentences — ~80% of these are Sino-Vietnamese!</t>
  </si>
  <si>
    <t xml:space="preserve">Food &amp; Drink</t>
  </si>
  <si>
    <t xml:space="preserve">Crucial for daily survival — huge regional variation (heo vs lon, ly vs coc)</t>
  </si>
  <si>
    <t xml:space="preserve">Transport</t>
  </si>
  <si>
    <t xml:space="preserve">Essential for HCMC — xe may (motorbike) culture is everywhere</t>
  </si>
  <si>
    <t xml:space="preserve">Places</t>
  </si>
  <si>
    <t xml:space="preserve">Combines with verbs of movement — di/den/ve create powerful phrases</t>
  </si>
  <si>
    <t xml:space="preserve">Body &amp; Health</t>
  </si>
  <si>
    <t xml:space="preserve">Most medical terms are Sino-Viet — huge advantage for you!</t>
  </si>
  <si>
    <t xml:space="preserve">Shopping &amp; Money</t>
  </si>
  <si>
    <t xml:space="preserve">Bargaining is cultural — master price words immediately</t>
  </si>
  <si>
    <t xml:space="preserve">Work &amp; Education</t>
  </si>
  <si>
    <t xml:space="preserve">Nearly all professional terms are Sino-Vietnamese</t>
  </si>
  <si>
    <t xml:space="preserve">Technology</t>
  </si>
  <si>
    <t xml:space="preserve">Mix of Sino-Viet and loanwords from English/French</t>
  </si>
  <si>
    <t xml:space="preserve">Nature</t>
  </si>
  <si>
    <t xml:space="preserve">Weather vocab important — tropical climate means rain/heat talk is constant</t>
  </si>
  <si>
    <t xml:space="preserve">Feelings</t>
  </si>
  <si>
    <t xml:space="preserve">Emotional vocabulary for deeper, more natural conversation</t>
  </si>
  <si>
    <t xml:space="preserve">Social &amp; Cultural</t>
  </si>
  <si>
    <t xml:space="preserve">Essential for cultural understanding and context</t>
  </si>
  <si>
    <t xml:space="preserve">Adverbs</t>
  </si>
  <si>
    <t xml:space="preserve">Rat (very) and qua (too much) are used constantly — learn these early!</t>
  </si>
  <si>
    <t xml:space="preserve">Clothes</t>
  </si>
  <si>
    <t xml:space="preserve">Shopping vocabulary — useful for markets and malls in Saigon</t>
  </si>
  <si>
    <t xml:space="preserve">Communication</t>
  </si>
  <si>
    <t xml:space="preserve">Meta-language for talking about learning Vietnamese itself</t>
  </si>
  <si>
    <t xml:space="preserve">Household</t>
  </si>
  <si>
    <t xml:space="preserve">For home life and giving/following everyday instructions</t>
  </si>
  <si>
    <t xml:space="preserve">Abstract Concepts</t>
  </si>
  <si>
    <t xml:space="preserve">~90% Sino-Vietnamese — leverage your Chinese massively here!</t>
  </si>
  <si>
    <t xml:space="preserve">Classifiers</t>
  </si>
  <si>
    <t xml:space="preserve">Critical feature shared with Cantonese — cai, con, chiec, cuon etc.</t>
  </si>
  <si>
    <t xml:space="preserve">Weather</t>
  </si>
  <si>
    <t xml:space="preserve">Tropical seasons: rainy season (mua mua) May-Nov, dry season Dec-Apr</t>
  </si>
  <si>
    <t xml:space="preserve">Directions</t>
  </si>
  <si>
    <t xml:space="preserve">Essential for navigating Vietnamese cities — combine with transport words</t>
  </si>
  <si>
    <t xml:space="preserve">Common Phrases</t>
  </si>
  <si>
    <t xml:space="preserve">Ready-to-use sentences for immediate real-world communication</t>
  </si>
  <si>
    <t xml:space="preserve">  Total — Part 1 — Foundations</t>
  </si>
  <si>
    <t xml:space="preserve">  PART 2  —  INTERMEDIATE</t>
  </si>
  <si>
    <t xml:space="preserve">Advanced vocabulary: Business, Legal, Culture, Grammar, Science &amp; more | Use with Part 1</t>
  </si>
  <si>
    <t xml:space="preserve">Priority for B2</t>
  </si>
  <si>
    <t xml:space="preserve">Business &amp; Finance</t>
  </si>
  <si>
    <t xml:space="preserve">HIGH — If working in Vietnam, master these immediately</t>
  </si>
  <si>
    <t xml:space="preserve">Legal &amp; Government</t>
  </si>
  <si>
    <t xml:space="preserve">MEDIUM — Important for expat life, admin, visas</t>
  </si>
  <si>
    <t xml:space="preserve">Education Advanced</t>
  </si>
  <si>
    <t xml:space="preserve">MEDIUM — Useful for academic/professional contexts</t>
  </si>
  <si>
    <t xml:space="preserve">Health &amp; Medical</t>
  </si>
  <si>
    <t xml:space="preserve">HIGH — Essential, especially Sino-Viet medical terms</t>
  </si>
  <si>
    <t xml:space="preserve">Food Advanced</t>
  </si>
  <si>
    <t xml:space="preserve">HIGH — Deepen food vocab; cooking methods + Southern dishes</t>
  </si>
  <si>
    <t xml:space="preserve">Housing</t>
  </si>
  <si>
    <t xml:space="preserve">HIGH — Essential for renting in HCMC</t>
  </si>
  <si>
    <t xml:space="preserve">Environment</t>
  </si>
  <si>
    <t xml:space="preserve">MEDIUM — Common in news/discussion topics</t>
  </si>
  <si>
    <t xml:space="preserve">Sports &amp; Leisure</t>
  </si>
  <si>
    <t xml:space="preserve">MEDIUM — For social conversation and hobbies</t>
  </si>
  <si>
    <t xml:space="preserve">Travel &amp; Tourism</t>
  </si>
  <si>
    <t xml:space="preserve">HIGH — For navigating Vietnam as a visitor/resident</t>
  </si>
  <si>
    <t xml:space="preserve">Relationships</t>
  </si>
  <si>
    <t xml:space="preserve">HIGH — For deeper social/family conversations</t>
  </si>
  <si>
    <t xml:space="preserve">Media &amp; Entertainment</t>
  </si>
  <si>
    <t xml:space="preserve">MEDIUM — For following Vietnamese media</t>
  </si>
  <si>
    <t xml:space="preserve">Technology Advanced</t>
  </si>
  <si>
    <t xml:space="preserve">MEDIUM-HIGH — Tech industry in Vietnam is booming</t>
  </si>
  <si>
    <t xml:space="preserve">Science</t>
  </si>
  <si>
    <t xml:space="preserve">LOW-MEDIUM — Most are Sino-Viet, good for reading</t>
  </si>
  <si>
    <t xml:space="preserve">Abstract Advanced</t>
  </si>
  <si>
    <t xml:space="preserve">HIGH for B2 — ~90% Sino-Viet, huge advantage!</t>
  </si>
  <si>
    <t xml:space="preserve">Expressions</t>
  </si>
  <si>
    <t xml:space="preserve">HIGH — These move you from B1 to B2 level speech</t>
  </si>
  <si>
    <t xml:space="preserve">Vietnamese Culture</t>
  </si>
  <si>
    <t xml:space="preserve">HIGH — Essential for integration and cultural fluency</t>
  </si>
  <si>
    <t xml:space="preserve">More Verbs</t>
  </si>
  <si>
    <t xml:space="preserve">HIGH — Expand verb repertoire for nuanced communication</t>
  </si>
  <si>
    <t xml:space="preserve">More Adjectives</t>
  </si>
  <si>
    <t xml:space="preserve">HIGH — Character descriptions, business/professional talk</t>
  </si>
  <si>
    <t xml:space="preserve">More Nouns</t>
  </si>
  <si>
    <t xml:space="preserve">HIGH — Academic and professional vocabulary</t>
  </si>
  <si>
    <t xml:space="preserve">Grammar &amp; Particles</t>
  </si>
  <si>
    <t xml:space="preserve">CRITICAL — Master these for natural-sounding Vietnamese</t>
  </si>
  <si>
    <t xml:space="preserve">  Total — Part 2 — Intermediate</t>
  </si>
  <si>
    <t xml:space="preserve">  PART 3  —  ADVANCED</t>
  </si>
  <si>
    <t xml:space="preserve">Idioms | Formal/Spoken | Culture | Economics | Discourse Markers | Grammar | Arts</t>
  </si>
  <si>
    <t xml:space="preserve">Notes</t>
  </si>
  <si>
    <t xml:space="preserve">Idioms &amp; Proverbs</t>
  </si>
  <si>
    <t xml:space="preserve">HIGH — Learn 10-15 key ones to sound native; many match Chinese proverbs</t>
  </si>
  <si>
    <t xml:space="preserve">Formal Writing</t>
  </si>
  <si>
    <t xml:space="preserve">HIGH for B2 — Official letters, reports, academic writing</t>
  </si>
  <si>
    <t xml:space="preserve">Spoken Southern</t>
  </si>
  <si>
    <t xml:space="preserve">CRITICAL — Real Saigon daily speech; hổng/vô/dzui etc.</t>
  </si>
  <si>
    <t xml:space="preserve">Opinion &amp; Debate</t>
  </si>
  <si>
    <t xml:space="preserve">HIGH for B2 — Argue, explain, present ideas with nuance</t>
  </si>
  <si>
    <t xml:space="preserve">Numbers &amp; Math</t>
  </si>
  <si>
    <t xml:space="preserve">MEDIUM — Operations and shapes; mostly Sino-Viet</t>
  </si>
  <si>
    <t xml:space="preserve">Measurements</t>
  </si>
  <si>
    <t xml:space="preserve">MEDIUM — For shopping, cooking, directions</t>
  </si>
  <si>
    <t xml:space="preserve">Calendar &amp; Dates</t>
  </si>
  <si>
    <t xml:space="preserve">HIGH — Dates, quarters, lunar calendar essential in Vietnam</t>
  </si>
  <si>
    <t xml:space="preserve">Vietnam Geography</t>
  </si>
  <si>
    <t xml:space="preserve">MEDIUM-HIGH — Know your regions, rivers, climate zones</t>
  </si>
  <si>
    <t xml:space="preserve">Politics &amp; Society</t>
  </si>
  <si>
    <t xml:space="preserve">MEDIUM — Understand news and current events</t>
  </si>
  <si>
    <t xml:space="preserve">Economics</t>
  </si>
  <si>
    <t xml:space="preserve">HIGH if working in VN — GDP, inflation, supply chain etc.</t>
  </si>
  <si>
    <t xml:space="preserve">Urban Life HCMC</t>
  </si>
  <si>
    <t xml:space="preserve">CRITICAL if living in HCMC — hẻm, xe ôm, nhậu, shipper...</t>
  </si>
  <si>
    <t xml:space="preserve">Digital &amp; Slang</t>
  </si>
  <si>
    <t xml:space="preserve">HIGH for social/Gen Z — viral, check-in, flex, TikTok</t>
  </si>
  <si>
    <t xml:space="preserve">Food Culture Southern</t>
  </si>
  <si>
    <t xml:space="preserve">HIGH — Deepen your food ordering and dining vocabulary</t>
  </si>
  <si>
    <t xml:space="preserve">Politeness &amp; Etiquette</t>
  </si>
  <si>
    <t xml:space="preserve">HIGH — Face culture is key; how you speak matters a lot</t>
  </si>
  <si>
    <t xml:space="preserve">Health &amp; Wellness</t>
  </si>
  <si>
    <t xml:space="preserve">MEDIUM — Everyday health and wellness discussions</t>
  </si>
  <si>
    <t xml:space="preserve">Arts &amp; Literature</t>
  </si>
  <si>
    <t xml:space="preserve">MEDIUM — For reading news, culture articles, discussions</t>
  </si>
  <si>
    <t xml:space="preserve">Discourse Markers</t>
  </si>
  <si>
    <t xml:space="preserve">CRITICAL for B2 — These structure your speech and writing</t>
  </si>
  <si>
    <t xml:space="preserve">Conditional</t>
  </si>
  <si>
    <t xml:space="preserve">HIGH — If/then, unless, provided that — essential grammar</t>
  </si>
  <si>
    <t xml:space="preserve">Verb Phrases</t>
  </si>
  <si>
    <t xml:space="preserve">HIGH — Common verb+noun combos used constantly in professional contexts</t>
  </si>
  <si>
    <t xml:space="preserve">  Total — Part 3 — Advanced</t>
  </si>
  <si>
    <t xml:space="preserve">  PART 4  —  COMPLETION</t>
  </si>
  <si>
    <t xml:space="preserve">Personality | Cause &amp; Effect | Academic | Emotions | Animals | High Frequency Fill</t>
  </si>
  <si>
    <t xml:space="preserve">Study Priority</t>
  </si>
  <si>
    <t xml:space="preserve">Personality &amp; Character</t>
  </si>
  <si>
    <t xml:space="preserve">HIGH — Describe people naturally; most words are daily use</t>
  </si>
  <si>
    <t xml:space="preserve">Cause &amp; Effect</t>
  </si>
  <si>
    <t xml:space="preserve">HIGH for B2 — Essential for explaining and arguing points</t>
  </si>
  <si>
    <t xml:space="preserve">Comparison &amp; Contrast</t>
  </si>
  <si>
    <t xml:space="preserve">HIGH — Compare options, contrast ideas; very common</t>
  </si>
  <si>
    <t xml:space="preserve">Academic Writing</t>
  </si>
  <si>
    <t xml:space="preserve">HIGH for B2 writing — Formal phrase structures</t>
  </si>
  <si>
    <t xml:space="preserve">Describing Change</t>
  </si>
  <si>
    <t xml:space="preserve">HIGH — Business, news, daily conversation all use these</t>
  </si>
  <si>
    <t xml:space="preserve">Negation &amp; Emphasis</t>
  </si>
  <si>
    <t xml:space="preserve">HIGH — Fine-tune your meaning with precision</t>
  </si>
  <si>
    <t xml:space="preserve">Problem Solving</t>
  </si>
  <si>
    <t xml:space="preserve">MEDIUM-HIGH — Practical everyday professional vocab</t>
  </si>
  <si>
    <t xml:space="preserve">Animals Extended</t>
  </si>
  <si>
    <t xml:space="preserve">LOW-MEDIUM — Useful for stories, nature, zodiac</t>
  </si>
  <si>
    <t xml:space="preserve">Weather Extended</t>
  </si>
  <si>
    <t xml:space="preserve">MEDIUM — News and environment discussions</t>
  </si>
  <si>
    <t xml:space="preserve">Clothes Extended</t>
  </si>
  <si>
    <t xml:space="preserve">MEDIUM — Shopping, describing people, fashion</t>
  </si>
  <si>
    <t xml:space="preserve">Home &amp; Interior</t>
  </si>
  <si>
    <t xml:space="preserve">MEDIUM-HIGH — Essential for renting/living in HCMC</t>
  </si>
  <si>
    <t xml:space="preserve">Language Extended</t>
  </si>
  <si>
    <t xml:space="preserve">HIGH — Meta-language for talking about communication</t>
  </si>
  <si>
    <t xml:space="preserve">Transport &amp; Logistics</t>
  </si>
  <si>
    <t xml:space="preserve">MEDIUM — If working in trade/import-export in Vietnam</t>
  </si>
  <si>
    <t xml:space="preserve">Emotions Extended</t>
  </si>
  <si>
    <t xml:space="preserve">HIGH — Deep emotional vocabulary for real conversations</t>
  </si>
  <si>
    <t xml:space="preserve">Vietnamese Numbers</t>
  </si>
  <si>
    <t xml:space="preserve">HIGH — Number expressions used constantly in speech</t>
  </si>
  <si>
    <t xml:space="preserve">High Frequency</t>
  </si>
  <si>
    <t xml:space="preserve">CRITICAL — These fill words make speech flow naturally</t>
  </si>
  <si>
    <t xml:space="preserve">  Total — Part 4 — Completion</t>
  </si>
  <si>
    <t xml:space="preserve">  PART 5  —  FINAL</t>
  </si>
  <si>
    <t xml:space="preserve">Work | Shopping | Apps | Grammar Structures | Tones | Essential Fill — 🎯 SERIES COMPLETE</t>
  </si>
  <si>
    <t xml:space="preserve">Work &amp; Office</t>
  </si>
  <si>
    <t xml:space="preserve">CRITICAL — Meetings, promotions, deadlines, hiring; daily professional life</t>
  </si>
  <si>
    <t xml:space="preserve">Shopping &amp; Bargaining</t>
  </si>
  <si>
    <t xml:space="preserve">HIGH — Market bargaining, online shopping, payments in HCMC</t>
  </si>
  <si>
    <t xml:space="preserve">Vietnam Apps &amp; Internet</t>
  </si>
  <si>
    <t xml:space="preserve">HIGH — Zalo, MoMo, Shopee, Grab; life in Vietnam runs on these</t>
  </si>
  <si>
    <t xml:space="preserve">Banking &amp; Finance</t>
  </si>
  <si>
    <t xml:space="preserve">HIGH — ATM, transfers, VND; need these from day 1</t>
  </si>
  <si>
    <t xml:space="preserve">Southern Phrases</t>
  </si>
  <si>
    <t xml:space="preserve">CRITICAL — Survival &amp; social phrases; use from day 1</t>
  </si>
  <si>
    <t xml:space="preserve">Connectors Advanced</t>
  </si>
  <si>
    <t xml:space="preserve">HIGH for B2 — Linking ideas smoothly in speech and writing</t>
  </si>
  <si>
    <t xml:space="preserve">Tones &amp; Pronunciation</t>
  </si>
  <si>
    <t xml:space="preserve">CRITICAL — Understanding the 6-tone system; Canto speaker advantage</t>
  </si>
  <si>
    <t xml:space="preserve">Advanced Grammar</t>
  </si>
  <si>
    <t xml:space="preserve">CRITICAL for B2 — Aspect markers, passives, serial verbs</t>
  </si>
  <si>
    <t xml:space="preserve">Essential Fill</t>
  </si>
  <si>
    <t xml:space="preserve">CRITICAL — High-frequency filler/modifier words used in every sentence</t>
  </si>
  <si>
    <t xml:space="preserve">  Total — Part 5 — Final</t>
  </si>
  <si>
    <t xml:space="preserve">🐱  MEO'S TIPS FOR CANTONESE SPEAKERS</t>
  </si>
  <si>
    <t xml:space="preserve">Tip</t>
  </si>
  <si>
    <t xml:space="preserve">Detail</t>
  </si>
  <si>
    <t xml:space="preserve">Why it helps you</t>
  </si>
  <si>
    <t xml:space="preserve">~60% Sino-Vietnamese</t>
  </si>
  <si>
    <r>
      <rPr>
        <sz val="10"/>
        <color rgb="FF000000"/>
        <rFont val="Arial"/>
        <family val="0"/>
        <charset val="1"/>
      </rPr>
      <t xml:space="preserve">Words like hoc-tap(</t>
    </r>
    <r>
      <rPr>
        <sz val="10"/>
        <color rgb="FF000000"/>
        <rFont val="Noto Sans CJK SC"/>
        <family val="2"/>
      </rPr>
      <t xml:space="preserve">學習</t>
    </r>
    <r>
      <rPr>
        <sz val="10"/>
        <color rgb="FF000000"/>
        <rFont val="Arial"/>
        <family val="0"/>
        <charset val="1"/>
      </rPr>
      <t xml:space="preserve">), quoc-gia(</t>
    </r>
    <r>
      <rPr>
        <sz val="10"/>
        <color rgb="FF000000"/>
        <rFont val="Noto Sans CJK SC"/>
        <family val="2"/>
      </rPr>
      <t xml:space="preserve">國家</t>
    </r>
    <r>
      <rPr>
        <sz val="10"/>
        <color rgb="FF000000"/>
        <rFont val="Arial"/>
        <family val="0"/>
        <charset val="1"/>
      </rPr>
      <t xml:space="preserve">), kinh-nghiem(</t>
    </r>
    <r>
      <rPr>
        <sz val="10"/>
        <color rgb="FF000000"/>
        <rFont val="Noto Sans CJK SC"/>
        <family val="2"/>
      </rPr>
      <t xml:space="preserve">經驗</t>
    </r>
    <r>
      <rPr>
        <sz val="10"/>
        <color rgb="FF000000"/>
        <rFont val="Arial"/>
        <family val="0"/>
        <charset val="1"/>
      </rPr>
      <t xml:space="preserve">) sound like Cantonese! You already know hundreds of words.</t>
    </r>
  </si>
  <si>
    <t xml:space="preserve">Blast through Parts 2–4 quickly</t>
  </si>
  <si>
    <t xml:space="preserve">6 Tones (vs 9 in Cantonese)</t>
  </si>
  <si>
    <t xml:space="preserve">Flat, rising, broken-rising, low-falling, falling-rising, heavy/glottalized. Fewer tones than Cantonese!</t>
  </si>
  <si>
    <t xml:space="preserve">Your ear is already trained</t>
  </si>
  <si>
    <t xml:space="preserve">Zero verb conjugation</t>
  </si>
  <si>
    <t xml:space="preserve">ăn = eat, đã ăn = ate, đang ăn = eating, sẽ ăn = will eat. No irregular forms ever.</t>
  </si>
  <si>
    <t xml:space="preserve">Grammar is simpler than Cantonese</t>
  </si>
  <si>
    <t xml:space="preserve">Southern dialect (Saigon)</t>
  </si>
  <si>
    <t xml:space="preserve">ba/má not cha/mẹ; heo not lợn; trái cây not hoa quả; ly not cốc; vô=vào; hổng=không</t>
  </si>
  <si>
    <t xml:space="preserve">Stick to Southern consistently</t>
  </si>
  <si>
    <r>
      <rPr>
        <b val="true"/>
        <sz val="10"/>
        <color rgb="FF000000"/>
        <rFont val="Arial"/>
        <family val="0"/>
        <charset val="1"/>
      </rPr>
      <t xml:space="preserve">Classifiers = Cantonese </t>
    </r>
    <r>
      <rPr>
        <b val="true"/>
        <sz val="10"/>
        <color rgb="FF000000"/>
        <rFont val="Noto Sans CJK SC"/>
        <family val="2"/>
      </rPr>
      <t xml:space="preserve">量詞</t>
    </r>
  </si>
  <si>
    <r>
      <rPr>
        <sz val="10"/>
        <color rgb="FF000000"/>
        <rFont val="Arial"/>
        <family val="0"/>
        <charset val="1"/>
      </rPr>
      <t xml:space="preserve">cái≈</t>
    </r>
    <r>
      <rPr>
        <sz val="10"/>
        <color rgb="FF000000"/>
        <rFont val="Noto Sans CJK SC"/>
        <family val="2"/>
      </rPr>
      <t xml:space="preserve">個</t>
    </r>
    <r>
      <rPr>
        <sz val="10"/>
        <color rgb="FF000000"/>
        <rFont val="Arial"/>
        <family val="0"/>
        <charset val="1"/>
      </rPr>
      <t xml:space="preserve">, chiếc≈</t>
    </r>
    <r>
      <rPr>
        <sz val="10"/>
        <color rgb="FF000000"/>
        <rFont val="Noto Sans CJK SC"/>
        <family val="2"/>
      </rPr>
      <t xml:space="preserve">隻</t>
    </r>
    <r>
      <rPr>
        <sz val="10"/>
        <color rgb="FF000000"/>
        <rFont val="Arial"/>
        <family val="0"/>
        <charset val="1"/>
      </rPr>
      <t xml:space="preserve">, cuốn≈</t>
    </r>
    <r>
      <rPr>
        <sz val="10"/>
        <color rgb="FF000000"/>
        <rFont val="Noto Sans CJK SC"/>
        <family val="2"/>
      </rPr>
      <t xml:space="preserve">本</t>
    </r>
    <r>
      <rPr>
        <sz val="10"/>
        <color rgb="FF000000"/>
        <rFont val="Arial"/>
        <family val="0"/>
        <charset val="1"/>
      </rPr>
      <t xml:space="preserve">, tờ≈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, con≈</t>
    </r>
    <r>
      <rPr>
        <sz val="10"/>
        <color rgb="FF000000"/>
        <rFont val="Noto Sans CJK SC"/>
        <family val="2"/>
      </rPr>
      <t xml:space="preserve">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隻 — </t>
    </r>
    <r>
      <rPr>
        <sz val="10"/>
        <color rgb="FF000000"/>
        <rFont val="Arial"/>
        <family val="0"/>
        <charset val="1"/>
      </rPr>
      <t xml:space="preserve">same system you already know!</t>
    </r>
  </si>
  <si>
    <t xml:space="preserve">Intuitive for Canto speakers</t>
  </si>
  <si>
    <t xml:space="preserve">Word order = SVO like Cantonese</t>
  </si>
  <si>
    <t xml:space="preserve">Subject + Verb + Object. Adjectives come AFTER the noun (ngôi nhà đẹp = house beautiful).</t>
  </si>
  <si>
    <t xml:space="preserve">Natural for you vs English</t>
  </si>
  <si>
    <t xml:space="preserve">Daily target: 15 words/day</t>
  </si>
  <si>
    <t xml:space="preserve">15 words/day = 1,962 words in ~4 months. Use Anki SRS with these sheets.</t>
  </si>
  <si>
    <t xml:space="preserve">B2 by June 2026 is very achievable 💪</t>
  </si>
  <si>
    <t xml:space="preserve">#</t>
  </si>
  <si>
    <t xml:space="preserve">Vietnamese (Southern)</t>
  </si>
  <si>
    <t xml:space="preserve">English Meaning</t>
  </si>
  <si>
    <t xml:space="preserve">Chinese Characters</t>
  </si>
  <si>
    <t xml:space="preserve">Cantonese Pronunciation</t>
  </si>
  <si>
    <t xml:space="preserve">Notes / Sino-Viet Connection</t>
  </si>
  <si>
    <t xml:space="preserve">tôi</t>
  </si>
  <si>
    <t xml:space="preserve">I / me</t>
  </si>
  <si>
    <t xml:space="preserve">我</t>
  </si>
  <si>
    <t xml:space="preserve">ngoh</t>
  </si>
  <si>
    <t xml:space="preserve">bạn</t>
  </si>
  <si>
    <t xml:space="preserve">you (friend/peer)</t>
  </si>
  <si>
    <t xml:space="preserve">你</t>
  </si>
  <si>
    <t xml:space="preserve">nei</t>
  </si>
  <si>
    <t xml:space="preserve">anh</t>
  </si>
  <si>
    <t xml:space="preserve">he / older brother / you (to older male)</t>
  </si>
  <si>
    <t xml:space="preserve">兄</t>
  </si>
  <si>
    <t xml:space="preserve">hing</t>
  </si>
  <si>
    <t xml:space="preserve">chị</t>
  </si>
  <si>
    <t xml:space="preserve">she / older sister / you (to older female)</t>
  </si>
  <si>
    <t xml:space="preserve">姐</t>
  </si>
  <si>
    <t xml:space="preserve">ze</t>
  </si>
  <si>
    <t xml:space="preserve">em</t>
  </si>
  <si>
    <t xml:space="preserve">younger sibling / I (to elder)</t>
  </si>
  <si>
    <r>
      <rPr>
        <sz val="9"/>
        <color rgb="FF000000"/>
        <rFont val="Noto Sans CJK SC"/>
        <family val="2"/>
      </rPr>
      <t xml:space="preserve">弟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妹</t>
    </r>
  </si>
  <si>
    <t xml:space="preserve">dai/mui</t>
  </si>
  <si>
    <t xml:space="preserve">họ</t>
  </si>
  <si>
    <t xml:space="preserve">they / them</t>
  </si>
  <si>
    <t xml:space="preserve">他們</t>
  </si>
  <si>
    <t xml:space="preserve">keoi-dei</t>
  </si>
  <si>
    <t xml:space="preserve">chúng tôi</t>
  </si>
  <si>
    <t xml:space="preserve">we (excl. listener)</t>
  </si>
  <si>
    <t xml:space="preserve">我們</t>
  </si>
  <si>
    <t xml:space="preserve">ngo-dei</t>
  </si>
  <si>
    <t xml:space="preserve">chúng ta</t>
  </si>
  <si>
    <t xml:space="preserve">we (incl. listener)</t>
  </si>
  <si>
    <t xml:space="preserve">咱們</t>
  </si>
  <si>
    <t xml:space="preserve">zaan-dei</t>
  </si>
  <si>
    <t xml:space="preserve">ông</t>
  </si>
  <si>
    <t xml:space="preserve">grandfather / Mr. / you (elderly man)</t>
  </si>
  <si>
    <r>
      <rPr>
        <sz val="9"/>
        <color rgb="FF000000"/>
        <rFont val="Noto Sans CJK SC"/>
        <family val="2"/>
      </rPr>
      <t xml:space="preserve">老爺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先生</t>
    </r>
  </si>
  <si>
    <t xml:space="preserve">lo-ye/sin-saang</t>
  </si>
  <si>
    <t xml:space="preserve">bà</t>
  </si>
  <si>
    <t xml:space="preserve">grandmother / Mrs. / you (elderly woman)</t>
  </si>
  <si>
    <r>
      <rPr>
        <sz val="9"/>
        <color rgb="FF000000"/>
        <rFont val="Noto Sans CJK SC"/>
        <family val="2"/>
      </rPr>
      <t xml:space="preserve">婆婆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太太</t>
    </r>
  </si>
  <si>
    <t xml:space="preserve">po-po/taai-taai</t>
  </si>
  <si>
    <t xml:space="preserve">cô</t>
  </si>
  <si>
    <t xml:space="preserve">aunt / Miss / you (young woman)</t>
  </si>
  <si>
    <t xml:space="preserve">姑</t>
  </si>
  <si>
    <t xml:space="preserve">gu</t>
  </si>
  <si>
    <t xml:space="preserve">chú</t>
  </si>
  <si>
    <t xml:space="preserve">uncle / you (middle-aged man)</t>
  </si>
  <si>
    <t xml:space="preserve">叔</t>
  </si>
  <si>
    <t xml:space="preserve">suk</t>
  </si>
  <si>
    <t xml:space="preserve">người</t>
  </si>
  <si>
    <t xml:space="preserve">person / people</t>
  </si>
  <si>
    <t xml:space="preserve">人</t>
  </si>
  <si>
    <t xml:space="preserve">jan</t>
  </si>
  <si>
    <t xml:space="preserve">Sino-Viet: nhân</t>
  </si>
  <si>
    <t xml:space="preserve">con</t>
  </si>
  <si>
    <t xml:space="preserve">child / classifier for animals</t>
  </si>
  <si>
    <t xml:space="preserve">子</t>
  </si>
  <si>
    <t xml:space="preserve">zi</t>
  </si>
  <si>
    <t xml:space="preserve">cha / bố</t>
  </si>
  <si>
    <t xml:space="preserve">father</t>
  </si>
  <si>
    <t xml:space="preserve">父</t>
  </si>
  <si>
    <t xml:space="preserve">fu</t>
  </si>
  <si>
    <t xml:space="preserve">mẹ / má</t>
  </si>
  <si>
    <t xml:space="preserve">mother</t>
  </si>
  <si>
    <t xml:space="preserve">母</t>
  </si>
  <si>
    <t xml:space="preserve">mou</t>
  </si>
  <si>
    <t xml:space="preserve">má is Southern</t>
  </si>
  <si>
    <t xml:space="preserve">con trai</t>
  </si>
  <si>
    <t xml:space="preserve">son / boy</t>
  </si>
  <si>
    <t xml:space="preserve">兒子</t>
  </si>
  <si>
    <t xml:space="preserve">ji-zi</t>
  </si>
  <si>
    <t xml:space="preserve">con gái</t>
  </si>
  <si>
    <t xml:space="preserve">daughter / girl</t>
  </si>
  <si>
    <t xml:space="preserve">女兒</t>
  </si>
  <si>
    <t xml:space="preserve">neoi-ji</t>
  </si>
  <si>
    <t xml:space="preserve">anh trai</t>
  </si>
  <si>
    <t xml:space="preserve">older brother</t>
  </si>
  <si>
    <t xml:space="preserve">chị gái</t>
  </si>
  <si>
    <t xml:space="preserve">older sister</t>
  </si>
  <si>
    <t xml:space="preserve">姐姐</t>
  </si>
  <si>
    <t xml:space="preserve">ze-ze</t>
  </si>
  <si>
    <t xml:space="preserve">em trai</t>
  </si>
  <si>
    <t xml:space="preserve">younger brother</t>
  </si>
  <si>
    <t xml:space="preserve">弟弟</t>
  </si>
  <si>
    <t xml:space="preserve">dai-dai</t>
  </si>
  <si>
    <t xml:space="preserve">em gái</t>
  </si>
  <si>
    <t xml:space="preserve">younger sister</t>
  </si>
  <si>
    <t xml:space="preserve">妹妹</t>
  </si>
  <si>
    <t xml:space="preserve">mui-mui</t>
  </si>
  <si>
    <t xml:space="preserve">bạn bè</t>
  </si>
  <si>
    <t xml:space="preserve">friends</t>
  </si>
  <si>
    <t xml:space="preserve">朋友</t>
  </si>
  <si>
    <t xml:space="preserve">pang-jau</t>
  </si>
  <si>
    <t xml:space="preserve">gia đình</t>
  </si>
  <si>
    <t xml:space="preserve">family</t>
  </si>
  <si>
    <t xml:space="preserve">家庭</t>
  </si>
  <si>
    <t xml:space="preserve">gaa-ting</t>
  </si>
  <si>
    <t xml:space="preserve">Sino-Viet: gia đình</t>
  </si>
  <si>
    <t xml:space="preserve">vợ</t>
  </si>
  <si>
    <t xml:space="preserve">wife</t>
  </si>
  <si>
    <t xml:space="preserve">妻</t>
  </si>
  <si>
    <t xml:space="preserve">chai</t>
  </si>
  <si>
    <t xml:space="preserve">chồng</t>
  </si>
  <si>
    <t xml:space="preserve">husband</t>
  </si>
  <si>
    <t xml:space="preserve">夫</t>
  </si>
  <si>
    <t xml:space="preserve">cháu</t>
  </si>
  <si>
    <t xml:space="preserve">niece/nephew/grandchild</t>
  </si>
  <si>
    <r>
      <rPr>
        <sz val="9"/>
        <color rgb="FF000000"/>
        <rFont val="Noto Sans CJK SC"/>
        <family val="2"/>
      </rPr>
      <t xml:space="preserve">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孫</t>
    </r>
  </si>
  <si>
    <t xml:space="preserve">zat/syun</t>
  </si>
  <si>
    <t xml:space="preserve">không</t>
  </si>
  <si>
    <t xml:space="preserve">zero</t>
  </si>
  <si>
    <t xml:space="preserve">零</t>
  </si>
  <si>
    <t xml:space="preserve">ling</t>
  </si>
  <si>
    <t xml:space="preserve">một</t>
  </si>
  <si>
    <t xml:space="preserve">one</t>
  </si>
  <si>
    <t xml:space="preserve">一</t>
  </si>
  <si>
    <t xml:space="preserve">jat</t>
  </si>
  <si>
    <t xml:space="preserve">hai</t>
  </si>
  <si>
    <t xml:space="preserve">two</t>
  </si>
  <si>
    <t xml:space="preserve">二</t>
  </si>
  <si>
    <t xml:space="preserve">ji</t>
  </si>
  <si>
    <t xml:space="preserve">ba</t>
  </si>
  <si>
    <t xml:space="preserve">three</t>
  </si>
  <si>
    <t xml:space="preserve">三</t>
  </si>
  <si>
    <t xml:space="preserve">saam</t>
  </si>
  <si>
    <t xml:space="preserve">bốn</t>
  </si>
  <si>
    <t xml:space="preserve">four</t>
  </si>
  <si>
    <t xml:space="preserve">四</t>
  </si>
  <si>
    <t xml:space="preserve">sei</t>
  </si>
  <si>
    <t xml:space="preserve">năm</t>
  </si>
  <si>
    <t xml:space="preserve">five / year</t>
  </si>
  <si>
    <r>
      <rPr>
        <sz val="9"/>
        <color rgb="FF000000"/>
        <rFont val="Noto Sans CJK SC"/>
        <family val="2"/>
      </rPr>
      <t xml:space="preserve">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年</t>
    </r>
  </si>
  <si>
    <t xml:space="preserve">ng/nin</t>
  </si>
  <si>
    <t xml:space="preserve">same word means year too</t>
  </si>
  <si>
    <t xml:space="preserve">sáu</t>
  </si>
  <si>
    <t xml:space="preserve">six</t>
  </si>
  <si>
    <t xml:space="preserve">六</t>
  </si>
  <si>
    <t xml:space="preserve">luk</t>
  </si>
  <si>
    <t xml:space="preserve">bảy</t>
  </si>
  <si>
    <t xml:space="preserve">seven</t>
  </si>
  <si>
    <t xml:space="preserve">七</t>
  </si>
  <si>
    <t xml:space="preserve">cat</t>
  </si>
  <si>
    <t xml:space="preserve">tám</t>
  </si>
  <si>
    <t xml:space="preserve">eight</t>
  </si>
  <si>
    <t xml:space="preserve">八</t>
  </si>
  <si>
    <t xml:space="preserve">baat</t>
  </si>
  <si>
    <t xml:space="preserve">chín</t>
  </si>
  <si>
    <t xml:space="preserve">nine</t>
  </si>
  <si>
    <t xml:space="preserve">九</t>
  </si>
  <si>
    <t xml:space="preserve">gau</t>
  </si>
  <si>
    <t xml:space="preserve">mười</t>
  </si>
  <si>
    <t xml:space="preserve">ten</t>
  </si>
  <si>
    <t xml:space="preserve">十</t>
  </si>
  <si>
    <t xml:space="preserve">sap</t>
  </si>
  <si>
    <t xml:space="preserve">mười một</t>
  </si>
  <si>
    <t xml:space="preserve">eleven</t>
  </si>
  <si>
    <t xml:space="preserve">十一</t>
  </si>
  <si>
    <t xml:space="preserve">sap-jat</t>
  </si>
  <si>
    <t xml:space="preserve">hai mươi</t>
  </si>
  <si>
    <t xml:space="preserve">twenty</t>
  </si>
  <si>
    <t xml:space="preserve">二十</t>
  </si>
  <si>
    <t xml:space="preserve">ji-sap</t>
  </si>
  <si>
    <t xml:space="preserve">trăm</t>
  </si>
  <si>
    <t xml:space="preserve">hundred</t>
  </si>
  <si>
    <t xml:space="preserve">百</t>
  </si>
  <si>
    <t xml:space="preserve">baak</t>
  </si>
  <si>
    <t xml:space="preserve">Sino-Viet: bách</t>
  </si>
  <si>
    <t xml:space="preserve">nghìn / ngàn</t>
  </si>
  <si>
    <t xml:space="preserve">thousand</t>
  </si>
  <si>
    <t xml:space="preserve">千</t>
  </si>
  <si>
    <t xml:space="preserve">cin</t>
  </si>
  <si>
    <t xml:space="preserve">ngàn is Southern</t>
  </si>
  <si>
    <t xml:space="preserve">triệu</t>
  </si>
  <si>
    <t xml:space="preserve">million</t>
  </si>
  <si>
    <t xml:space="preserve">百萬</t>
  </si>
  <si>
    <t xml:space="preserve">baak-maan</t>
  </si>
  <si>
    <t xml:space="preserve">Sino-Viet: triệu</t>
  </si>
  <si>
    <t xml:space="preserve">tỷ</t>
  </si>
  <si>
    <t xml:space="preserve">billion</t>
  </si>
  <si>
    <t xml:space="preserve">十億</t>
  </si>
  <si>
    <t xml:space="preserve">sap-jik</t>
  </si>
  <si>
    <t xml:space="preserve">nửa</t>
  </si>
  <si>
    <t xml:space="preserve">half</t>
  </si>
  <si>
    <t xml:space="preserve">半</t>
  </si>
  <si>
    <t xml:space="preserve">bun</t>
  </si>
  <si>
    <t xml:space="preserve">đôi</t>
  </si>
  <si>
    <t xml:space="preserve">pair/couple</t>
  </si>
  <si>
    <t xml:space="preserve">對</t>
  </si>
  <si>
    <t xml:space="preserve">deoi</t>
  </si>
  <si>
    <t xml:space="preserve">vài</t>
  </si>
  <si>
    <t xml:space="preserve">a few / several</t>
  </si>
  <si>
    <t xml:space="preserve">幾個</t>
  </si>
  <si>
    <t xml:space="preserve">gei-go</t>
  </si>
  <si>
    <t xml:space="preserve">giờ</t>
  </si>
  <si>
    <t xml:space="preserve">hour / o'clock</t>
  </si>
  <si>
    <r>
      <rPr>
        <sz val="9"/>
        <color rgb="FF000000"/>
        <rFont val="Noto Sans CJK SC"/>
        <family val="2"/>
      </rPr>
      <t xml:space="preserve">小時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點</t>
    </r>
  </si>
  <si>
    <t xml:space="preserve">siu-si/dim</t>
  </si>
  <si>
    <t xml:space="preserve">phút</t>
  </si>
  <si>
    <t xml:space="preserve">minute</t>
  </si>
  <si>
    <t xml:space="preserve">分鐘</t>
  </si>
  <si>
    <t xml:space="preserve">fan-zung</t>
  </si>
  <si>
    <t xml:space="preserve">giây</t>
  </si>
  <si>
    <t xml:space="preserve">second</t>
  </si>
  <si>
    <t xml:space="preserve">秒</t>
  </si>
  <si>
    <t xml:space="preserve">miu</t>
  </si>
  <si>
    <t xml:space="preserve">ngày</t>
  </si>
  <si>
    <t xml:space="preserve">day</t>
  </si>
  <si>
    <t xml:space="preserve">日</t>
  </si>
  <si>
    <t xml:space="preserve">tuần</t>
  </si>
  <si>
    <t xml:space="preserve">week</t>
  </si>
  <si>
    <t xml:space="preserve">星期</t>
  </si>
  <si>
    <t xml:space="preserve">sing-kei</t>
  </si>
  <si>
    <t xml:space="preserve">tháng</t>
  </si>
  <si>
    <t xml:space="preserve">month</t>
  </si>
  <si>
    <t xml:space="preserve">月</t>
  </si>
  <si>
    <t xml:space="preserve">jyut</t>
  </si>
  <si>
    <t xml:space="preserve">year</t>
  </si>
  <si>
    <t xml:space="preserve">年</t>
  </si>
  <si>
    <t xml:space="preserve">nin</t>
  </si>
  <si>
    <t xml:space="preserve">same word as five</t>
  </si>
  <si>
    <t xml:space="preserve">hôm nay</t>
  </si>
  <si>
    <t xml:space="preserve">today</t>
  </si>
  <si>
    <t xml:space="preserve">今天</t>
  </si>
  <si>
    <t xml:space="preserve">gam-tin</t>
  </si>
  <si>
    <t xml:space="preserve">hôm qua</t>
  </si>
  <si>
    <t xml:space="preserve">yesterday</t>
  </si>
  <si>
    <t xml:space="preserve">昨天</t>
  </si>
  <si>
    <t xml:space="preserve">zok-tin</t>
  </si>
  <si>
    <t xml:space="preserve">ngày mai</t>
  </si>
  <si>
    <t xml:space="preserve">tomorrow</t>
  </si>
  <si>
    <t xml:space="preserve">明天</t>
  </si>
  <si>
    <t xml:space="preserve">ming-tin</t>
  </si>
  <si>
    <t xml:space="preserve">bây giờ</t>
  </si>
  <si>
    <t xml:space="preserve">now</t>
  </si>
  <si>
    <t xml:space="preserve">現在</t>
  </si>
  <si>
    <t xml:space="preserve">jin-zoi</t>
  </si>
  <si>
    <t xml:space="preserve">sau</t>
  </si>
  <si>
    <t xml:space="preserve">after / later</t>
  </si>
  <si>
    <t xml:space="preserve">後</t>
  </si>
  <si>
    <t xml:space="preserve">hau</t>
  </si>
  <si>
    <t xml:space="preserve">trước</t>
  </si>
  <si>
    <t xml:space="preserve">before / in front</t>
  </si>
  <si>
    <t xml:space="preserve">前</t>
  </si>
  <si>
    <t xml:space="preserve">sáng</t>
  </si>
  <si>
    <t xml:space="preserve">morning</t>
  </si>
  <si>
    <t xml:space="preserve">早晨</t>
  </si>
  <si>
    <t xml:space="preserve">zou-san</t>
  </si>
  <si>
    <t xml:space="preserve">chiều</t>
  </si>
  <si>
    <t xml:space="preserve">afternoon/evening</t>
  </si>
  <si>
    <t xml:space="preserve">下午</t>
  </si>
  <si>
    <t xml:space="preserve">haa-ng</t>
  </si>
  <si>
    <t xml:space="preserve">tối</t>
  </si>
  <si>
    <t xml:space="preserve">evening/night</t>
  </si>
  <si>
    <t xml:space="preserve">晚上</t>
  </si>
  <si>
    <t xml:space="preserve">maan-seung</t>
  </si>
  <si>
    <t xml:space="preserve">đêm</t>
  </si>
  <si>
    <t xml:space="preserve">night</t>
  </si>
  <si>
    <t xml:space="preserve">夜</t>
  </si>
  <si>
    <t xml:space="preserve">je</t>
  </si>
  <si>
    <t xml:space="preserve">thứ Hai</t>
  </si>
  <si>
    <t xml:space="preserve">Monday</t>
  </si>
  <si>
    <t xml:space="preserve">星期一</t>
  </si>
  <si>
    <t xml:space="preserve">sing-kei-jat</t>
  </si>
  <si>
    <t xml:space="preserve">thứ Ba</t>
  </si>
  <si>
    <t xml:space="preserve">Tuesday</t>
  </si>
  <si>
    <t xml:space="preserve">星期二</t>
  </si>
  <si>
    <t xml:space="preserve">sing-kei-ji</t>
  </si>
  <si>
    <t xml:space="preserve">thứ Tư</t>
  </si>
  <si>
    <t xml:space="preserve">Wednesday</t>
  </si>
  <si>
    <t xml:space="preserve">星期三</t>
  </si>
  <si>
    <t xml:space="preserve">sing-kei-saam</t>
  </si>
  <si>
    <t xml:space="preserve">thứ Năm</t>
  </si>
  <si>
    <t xml:space="preserve">Thursday</t>
  </si>
  <si>
    <t xml:space="preserve">星期四</t>
  </si>
  <si>
    <t xml:space="preserve">sing-kei-sei</t>
  </si>
  <si>
    <t xml:space="preserve">thứ Sáu</t>
  </si>
  <si>
    <t xml:space="preserve">Friday</t>
  </si>
  <si>
    <t xml:space="preserve">星期五</t>
  </si>
  <si>
    <t xml:space="preserve">sing-kei-ng</t>
  </si>
  <si>
    <t xml:space="preserve">thứ Bảy</t>
  </si>
  <si>
    <t xml:space="preserve">Saturday</t>
  </si>
  <si>
    <t xml:space="preserve">星期六</t>
  </si>
  <si>
    <t xml:space="preserve">sing-kei-luk</t>
  </si>
  <si>
    <t xml:space="preserve">Chủ Nhật</t>
  </si>
  <si>
    <t xml:space="preserve">Sunday</t>
  </si>
  <si>
    <t xml:space="preserve">星期日</t>
  </si>
  <si>
    <t xml:space="preserve">mùa xuân</t>
  </si>
  <si>
    <t xml:space="preserve">spring</t>
  </si>
  <si>
    <t xml:space="preserve">春天</t>
  </si>
  <si>
    <t xml:space="preserve">ceon-tin</t>
  </si>
  <si>
    <t xml:space="preserve">mùa hè</t>
  </si>
  <si>
    <t xml:space="preserve">summer</t>
  </si>
  <si>
    <t xml:space="preserve">夏天</t>
  </si>
  <si>
    <t xml:space="preserve">haa-tin</t>
  </si>
  <si>
    <t xml:space="preserve">mùa thu</t>
  </si>
  <si>
    <t xml:space="preserve">autumn</t>
  </si>
  <si>
    <t xml:space="preserve">秋天</t>
  </si>
  <si>
    <t xml:space="preserve">cau-tin</t>
  </si>
  <si>
    <t xml:space="preserve">mùa đông</t>
  </si>
  <si>
    <t xml:space="preserve">winter</t>
  </si>
  <si>
    <t xml:space="preserve">冬天</t>
  </si>
  <si>
    <t xml:space="preserve">dung-tin</t>
  </si>
  <si>
    <t xml:space="preserve">lúc</t>
  </si>
  <si>
    <t xml:space="preserve">at (time)</t>
  </si>
  <si>
    <t xml:space="preserve">時候</t>
  </si>
  <si>
    <t xml:space="preserve">si-hau</t>
  </si>
  <si>
    <t xml:space="preserve">khi</t>
  </si>
  <si>
    <t xml:space="preserve">when</t>
  </si>
  <si>
    <r>
      <rPr>
        <sz val="9"/>
        <color rgb="FF000000"/>
        <rFont val="Noto Sans CJK SC"/>
        <family val="2"/>
      </rPr>
      <t xml:space="preserve">當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時</t>
    </r>
  </si>
  <si>
    <t xml:space="preserve">dong...si</t>
  </si>
  <si>
    <t xml:space="preserve">đã</t>
  </si>
  <si>
    <t xml:space="preserve">past tense marker</t>
  </si>
  <si>
    <t xml:space="preserve">已</t>
  </si>
  <si>
    <t xml:space="preserve">grammar particle</t>
  </si>
  <si>
    <t xml:space="preserve">đang</t>
  </si>
  <si>
    <t xml:space="preserve">present continuous marker</t>
  </si>
  <si>
    <t xml:space="preserve">正在</t>
  </si>
  <si>
    <t xml:space="preserve">zing-zoi</t>
  </si>
  <si>
    <t xml:space="preserve">sẽ</t>
  </si>
  <si>
    <t xml:space="preserve">future marker</t>
  </si>
  <si>
    <t xml:space="preserve">將會</t>
  </si>
  <si>
    <t xml:space="preserve">zoeng-wui</t>
  </si>
  <si>
    <t xml:space="preserve">vừa</t>
  </si>
  <si>
    <t xml:space="preserve">just (did)</t>
  </si>
  <si>
    <t xml:space="preserve">剛剛</t>
  </si>
  <si>
    <t xml:space="preserve">gong-gong</t>
  </si>
  <si>
    <t xml:space="preserve">rồi</t>
  </si>
  <si>
    <t xml:space="preserve">already / done</t>
  </si>
  <si>
    <t xml:space="preserve">已經</t>
  </si>
  <si>
    <t xml:space="preserve">ji-ging</t>
  </si>
  <si>
    <t xml:space="preserve">chưa</t>
  </si>
  <si>
    <t xml:space="preserve">not yet</t>
  </si>
  <si>
    <t xml:space="preserve">未</t>
  </si>
  <si>
    <t xml:space="preserve">mei</t>
  </si>
  <si>
    <t xml:space="preserve">xin chào</t>
  </si>
  <si>
    <t xml:space="preserve">hello</t>
  </si>
  <si>
    <t xml:space="preserve">你好</t>
  </si>
  <si>
    <t xml:space="preserve">nei-hou</t>
  </si>
  <si>
    <t xml:space="preserve">tạm biệt</t>
  </si>
  <si>
    <t xml:space="preserve">goodbye</t>
  </si>
  <si>
    <t xml:space="preserve">再見</t>
  </si>
  <si>
    <t xml:space="preserve">zoi-gin</t>
  </si>
  <si>
    <t xml:space="preserve">cảm ơn</t>
  </si>
  <si>
    <t xml:space="preserve">thank you</t>
  </si>
  <si>
    <t xml:space="preserve">感謝</t>
  </si>
  <si>
    <t xml:space="preserve">gam-ze</t>
  </si>
  <si>
    <t xml:space="preserve">Sino-Viet: cảm ơn</t>
  </si>
  <si>
    <t xml:space="preserve">xin lỗi</t>
  </si>
  <si>
    <t xml:space="preserve">sorry / excuse me</t>
  </si>
  <si>
    <t xml:space="preserve">對不起</t>
  </si>
  <si>
    <t xml:space="preserve">deoi-m-zyu</t>
  </si>
  <si>
    <t xml:space="preserve">không có gì</t>
  </si>
  <si>
    <t xml:space="preserve">you're welcome / no problem</t>
  </si>
  <si>
    <t xml:space="preserve">沒關係</t>
  </si>
  <si>
    <t xml:space="preserve">mut-gwaan-hai</t>
  </si>
  <si>
    <t xml:space="preserve">vâng / dạ</t>
  </si>
  <si>
    <t xml:space="preserve">yes (polite)</t>
  </si>
  <si>
    <t xml:space="preserve">是</t>
  </si>
  <si>
    <t xml:space="preserve">si</t>
  </si>
  <si>
    <t xml:space="preserve">dạ is Southern</t>
  </si>
  <si>
    <t xml:space="preserve">no / not</t>
  </si>
  <si>
    <r>
      <rPr>
        <sz val="9"/>
        <color rgb="FF000000"/>
        <rFont val="Noto Sans CJK SC"/>
        <family val="2"/>
      </rPr>
      <t xml:space="preserve">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沒</t>
    </r>
  </si>
  <si>
    <t xml:space="preserve">bat/mut</t>
  </si>
  <si>
    <t xml:space="preserve">được</t>
  </si>
  <si>
    <t xml:space="preserve">okay / can / acceptable</t>
  </si>
  <si>
    <r>
      <rPr>
        <sz val="9"/>
        <color rgb="FF000000"/>
        <rFont val="Noto Sans CJK SC"/>
        <family val="2"/>
      </rPr>
      <t xml:space="preserve">可以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好</t>
    </r>
  </si>
  <si>
    <t xml:space="preserve">ho-ji/hou</t>
  </si>
  <si>
    <t xml:space="preserve">ơi</t>
  </si>
  <si>
    <t xml:space="preserve">hey! (calling someone)</t>
  </si>
  <si>
    <t xml:space="preserve">喂</t>
  </si>
  <si>
    <t xml:space="preserve">wai</t>
  </si>
  <si>
    <t xml:space="preserve">chào mừng</t>
  </si>
  <si>
    <t xml:space="preserve">welcome</t>
  </si>
  <si>
    <t xml:space="preserve">歡迎</t>
  </si>
  <si>
    <t xml:space="preserve">fun-jing</t>
  </si>
  <si>
    <t xml:space="preserve">Sino-Viet: hoan nghênh</t>
  </si>
  <si>
    <t xml:space="preserve">khỏe không?</t>
  </si>
  <si>
    <t xml:space="preserve">how are you?</t>
  </si>
  <si>
    <r>
      <rPr>
        <sz val="9"/>
        <color rgb="FF000000"/>
        <rFont val="Noto Sans CJK SC"/>
        <family val="2"/>
      </rPr>
      <t xml:space="preserve">你好嗎</t>
    </r>
    <r>
      <rPr>
        <sz val="9"/>
        <color rgb="FF000000"/>
        <rFont val="Arial"/>
        <family val="0"/>
        <charset val="1"/>
      </rPr>
      <t xml:space="preserve">?</t>
    </r>
  </si>
  <si>
    <t xml:space="preserve">nei-hou-maa</t>
  </si>
  <si>
    <t xml:space="preserve">khỏe</t>
  </si>
  <si>
    <t xml:space="preserve">healthy / well</t>
  </si>
  <si>
    <t xml:space="preserve">健康</t>
  </si>
  <si>
    <t xml:space="preserve">gin-hong</t>
  </si>
  <si>
    <t xml:space="preserve">vui</t>
  </si>
  <si>
    <t xml:space="preserve">happy</t>
  </si>
  <si>
    <t xml:space="preserve">快樂</t>
  </si>
  <si>
    <t xml:space="preserve">faai-lok</t>
  </si>
  <si>
    <t xml:space="preserve">buồn</t>
  </si>
  <si>
    <t xml:space="preserve">sad</t>
  </si>
  <si>
    <t xml:space="preserve">傷心</t>
  </si>
  <si>
    <t xml:space="preserve">soeng-sam</t>
  </si>
  <si>
    <t xml:space="preserve">là</t>
  </si>
  <si>
    <t xml:space="preserve">to be (identity)</t>
  </si>
  <si>
    <t xml:space="preserve">no conjugation in Viet</t>
  </si>
  <si>
    <t xml:space="preserve">có</t>
  </si>
  <si>
    <t xml:space="preserve">to have / there is</t>
  </si>
  <si>
    <t xml:space="preserve">有</t>
  </si>
  <si>
    <t xml:space="preserve">jau</t>
  </si>
  <si>
    <t xml:space="preserve">không có</t>
  </si>
  <si>
    <t xml:space="preserve">to not have / there isn't</t>
  </si>
  <si>
    <t xml:space="preserve">沒有</t>
  </si>
  <si>
    <t xml:space="preserve">mut-jau</t>
  </si>
  <si>
    <t xml:space="preserve">làm</t>
  </si>
  <si>
    <t xml:space="preserve">to do / to make</t>
  </si>
  <si>
    <t xml:space="preserve">做</t>
  </si>
  <si>
    <t xml:space="preserve">zou</t>
  </si>
  <si>
    <t xml:space="preserve">đi</t>
  </si>
  <si>
    <t xml:space="preserve">to go</t>
  </si>
  <si>
    <t xml:space="preserve">去</t>
  </si>
  <si>
    <t xml:space="preserve">heoi</t>
  </si>
  <si>
    <t xml:space="preserve">đến</t>
  </si>
  <si>
    <t xml:space="preserve">to come / to arrive</t>
  </si>
  <si>
    <r>
      <rPr>
        <sz val="9"/>
        <color rgb="FF000000"/>
        <rFont val="Noto Sans CJK SC"/>
        <family val="2"/>
      </rPr>
      <t xml:space="preserve">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到</t>
    </r>
  </si>
  <si>
    <t xml:space="preserve">lai/dou</t>
  </si>
  <si>
    <t xml:space="preserve">về</t>
  </si>
  <si>
    <t xml:space="preserve">to return / about</t>
  </si>
  <si>
    <t xml:space="preserve">回</t>
  </si>
  <si>
    <t xml:space="preserve">wui</t>
  </si>
  <si>
    <t xml:space="preserve">ra</t>
  </si>
  <si>
    <t xml:space="preserve">to go out</t>
  </si>
  <si>
    <t xml:space="preserve">出</t>
  </si>
  <si>
    <t xml:space="preserve">ceot</t>
  </si>
  <si>
    <t xml:space="preserve">vào</t>
  </si>
  <si>
    <t xml:space="preserve">to enter / in</t>
  </si>
  <si>
    <r>
      <rPr>
        <sz val="9"/>
        <color rgb="FF000000"/>
        <rFont val="Noto Sans CJK SC"/>
        <family val="2"/>
      </rPr>
      <t xml:space="preserve">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入</t>
    </r>
  </si>
  <si>
    <t xml:space="preserve">zeon/jap</t>
  </si>
  <si>
    <t xml:space="preserve">lên</t>
  </si>
  <si>
    <t xml:space="preserve">to go up</t>
  </si>
  <si>
    <t xml:space="preserve">上</t>
  </si>
  <si>
    <t xml:space="preserve">soeng</t>
  </si>
  <si>
    <t xml:space="preserve">xuống</t>
  </si>
  <si>
    <t xml:space="preserve">to go down</t>
  </si>
  <si>
    <t xml:space="preserve">下</t>
  </si>
  <si>
    <t xml:space="preserve">haa</t>
  </si>
  <si>
    <t xml:space="preserve">ăn</t>
  </si>
  <si>
    <t xml:space="preserve">to eat</t>
  </si>
  <si>
    <t xml:space="preserve">食</t>
  </si>
  <si>
    <t xml:space="preserve">sik</t>
  </si>
  <si>
    <t xml:space="preserve">uống</t>
  </si>
  <si>
    <t xml:space="preserve">to drink</t>
  </si>
  <si>
    <t xml:space="preserve">飲</t>
  </si>
  <si>
    <t xml:space="preserve">jam</t>
  </si>
  <si>
    <t xml:space="preserve">ngủ</t>
  </si>
  <si>
    <t xml:space="preserve">to sleep</t>
  </si>
  <si>
    <t xml:space="preserve">睡</t>
  </si>
  <si>
    <t xml:space="preserve">seoi</t>
  </si>
  <si>
    <t xml:space="preserve">thức dậy</t>
  </si>
  <si>
    <t xml:space="preserve">to wake up</t>
  </si>
  <si>
    <t xml:space="preserve">起床</t>
  </si>
  <si>
    <t xml:space="preserve">hei-cong</t>
  </si>
  <si>
    <t xml:space="preserve">mua</t>
  </si>
  <si>
    <t xml:space="preserve">to buy</t>
  </si>
  <si>
    <t xml:space="preserve">買</t>
  </si>
  <si>
    <t xml:space="preserve">maai</t>
  </si>
  <si>
    <t xml:space="preserve">bán</t>
  </si>
  <si>
    <t xml:space="preserve">to sell</t>
  </si>
  <si>
    <t xml:space="preserve">賣</t>
  </si>
  <si>
    <t xml:space="preserve">buy/sell sound same in Cant!</t>
  </si>
  <si>
    <t xml:space="preserve">nói</t>
  </si>
  <si>
    <t xml:space="preserve">to speak / to say</t>
  </si>
  <si>
    <t xml:space="preserve">說</t>
  </si>
  <si>
    <t xml:space="preserve">syut</t>
  </si>
  <si>
    <t xml:space="preserve">nghe</t>
  </si>
  <si>
    <t xml:space="preserve">to listen / to hear</t>
  </si>
  <si>
    <t xml:space="preserve">聽</t>
  </si>
  <si>
    <t xml:space="preserve">teng</t>
  </si>
  <si>
    <t xml:space="preserve">nhìn / xem</t>
  </si>
  <si>
    <t xml:space="preserve">to look / to watch</t>
  </si>
  <si>
    <t xml:space="preserve">看</t>
  </si>
  <si>
    <t xml:space="preserve">hon</t>
  </si>
  <si>
    <t xml:space="preserve">đọc</t>
  </si>
  <si>
    <t xml:space="preserve">to read</t>
  </si>
  <si>
    <t xml:space="preserve">讀</t>
  </si>
  <si>
    <t xml:space="preserve">duk</t>
  </si>
  <si>
    <t xml:space="preserve">Sino-Viet: đọc/độc</t>
  </si>
  <si>
    <t xml:space="preserve">viết</t>
  </si>
  <si>
    <t xml:space="preserve">to write</t>
  </si>
  <si>
    <t xml:space="preserve">寫</t>
  </si>
  <si>
    <t xml:space="preserve">se</t>
  </si>
  <si>
    <t xml:space="preserve">biết</t>
  </si>
  <si>
    <t xml:space="preserve">to know (facts)</t>
  </si>
  <si>
    <t xml:space="preserve">知</t>
  </si>
  <si>
    <t xml:space="preserve">hiểu</t>
  </si>
  <si>
    <t xml:space="preserve">to understand</t>
  </si>
  <si>
    <t xml:space="preserve">明白</t>
  </si>
  <si>
    <t xml:space="preserve">ming-baak</t>
  </si>
  <si>
    <t xml:space="preserve">muốn</t>
  </si>
  <si>
    <t xml:space="preserve">to want</t>
  </si>
  <si>
    <t xml:space="preserve">想要</t>
  </si>
  <si>
    <t xml:space="preserve">soeng-jiu</t>
  </si>
  <si>
    <t xml:space="preserve">cần</t>
  </si>
  <si>
    <t xml:space="preserve">to need</t>
  </si>
  <si>
    <t xml:space="preserve">需要</t>
  </si>
  <si>
    <t xml:space="preserve">seoi-jiu</t>
  </si>
  <si>
    <t xml:space="preserve">thích</t>
  </si>
  <si>
    <t xml:space="preserve">to like</t>
  </si>
  <si>
    <t xml:space="preserve">喜歡</t>
  </si>
  <si>
    <t xml:space="preserve">hei-fun</t>
  </si>
  <si>
    <t xml:space="preserve">yêu</t>
  </si>
  <si>
    <t xml:space="preserve">to love</t>
  </si>
  <si>
    <t xml:space="preserve">愛</t>
  </si>
  <si>
    <t xml:space="preserve">oi</t>
  </si>
  <si>
    <t xml:space="preserve">Sino-Viet: ái</t>
  </si>
  <si>
    <t xml:space="preserve">ghét</t>
  </si>
  <si>
    <t xml:space="preserve">to hate</t>
  </si>
  <si>
    <t xml:space="preserve">討厭</t>
  </si>
  <si>
    <t xml:space="preserve">tou-jim</t>
  </si>
  <si>
    <t xml:space="preserve">nghĩ</t>
  </si>
  <si>
    <t xml:space="preserve">to think</t>
  </si>
  <si>
    <t xml:space="preserve">想</t>
  </si>
  <si>
    <t xml:space="preserve">nhớ</t>
  </si>
  <si>
    <t xml:space="preserve">to remember / to miss</t>
  </si>
  <si>
    <r>
      <rPr>
        <sz val="9"/>
        <color rgb="FF000000"/>
        <rFont val="Noto Sans CJK SC"/>
        <family val="2"/>
      </rPr>
      <t xml:space="preserve">記得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想念</t>
    </r>
  </si>
  <si>
    <t xml:space="preserve">gei-dak/soeng-nim</t>
  </si>
  <si>
    <t xml:space="preserve">quên</t>
  </si>
  <si>
    <t xml:space="preserve">to forget</t>
  </si>
  <si>
    <t xml:space="preserve">忘記</t>
  </si>
  <si>
    <t xml:space="preserve">mong-gei</t>
  </si>
  <si>
    <t xml:space="preserve">hỏi</t>
  </si>
  <si>
    <t xml:space="preserve">to ask</t>
  </si>
  <si>
    <t xml:space="preserve">問</t>
  </si>
  <si>
    <t xml:space="preserve">man</t>
  </si>
  <si>
    <t xml:space="preserve">trả lời</t>
  </si>
  <si>
    <t xml:space="preserve">to answer / reply</t>
  </si>
  <si>
    <t xml:space="preserve">回答</t>
  </si>
  <si>
    <t xml:space="preserve">wui-daap</t>
  </si>
  <si>
    <t xml:space="preserve">gặp</t>
  </si>
  <si>
    <t xml:space="preserve">to meet</t>
  </si>
  <si>
    <t xml:space="preserve">見面</t>
  </si>
  <si>
    <t xml:space="preserve">gin-min</t>
  </si>
  <si>
    <t xml:space="preserve">gọi</t>
  </si>
  <si>
    <t xml:space="preserve">to call</t>
  </si>
  <si>
    <r>
      <rPr>
        <sz val="9"/>
        <color rgb="FF000000"/>
        <rFont val="Noto Sans CJK SC"/>
        <family val="2"/>
      </rPr>
      <t xml:space="preserve">叫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打電話</t>
    </r>
  </si>
  <si>
    <t xml:space="preserve">giu/daa-din-waa</t>
  </si>
  <si>
    <t xml:space="preserve">cho</t>
  </si>
  <si>
    <t xml:space="preserve">to give</t>
  </si>
  <si>
    <t xml:space="preserve">給</t>
  </si>
  <si>
    <t xml:space="preserve">kap</t>
  </si>
  <si>
    <t xml:space="preserve">nhận</t>
  </si>
  <si>
    <t xml:space="preserve">to receive</t>
  </si>
  <si>
    <t xml:space="preserve">接受</t>
  </si>
  <si>
    <t xml:space="preserve">zip-sau</t>
  </si>
  <si>
    <t xml:space="preserve">mang</t>
  </si>
  <si>
    <t xml:space="preserve">to bring / to carry</t>
  </si>
  <si>
    <t xml:space="preserve">帶</t>
  </si>
  <si>
    <t xml:space="preserve">daai</t>
  </si>
  <si>
    <t xml:space="preserve">bỏ</t>
  </si>
  <si>
    <t xml:space="preserve">to leave / to put</t>
  </si>
  <si>
    <r>
      <rPr>
        <sz val="9"/>
        <color rgb="FF000000"/>
        <rFont val="Noto Sans CJK SC"/>
        <family val="2"/>
      </rPr>
      <t xml:space="preserve">放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丟</t>
    </r>
  </si>
  <si>
    <t xml:space="preserve">fong/diu</t>
  </si>
  <si>
    <t xml:space="preserve">lấy</t>
  </si>
  <si>
    <t xml:space="preserve">to take / to get</t>
  </si>
  <si>
    <t xml:space="preserve">拿</t>
  </si>
  <si>
    <t xml:space="preserve">naa</t>
  </si>
  <si>
    <t xml:space="preserve">dùng</t>
  </si>
  <si>
    <t xml:space="preserve">to use</t>
  </si>
  <si>
    <t xml:space="preserve">用</t>
  </si>
  <si>
    <t xml:space="preserve">jung</t>
  </si>
  <si>
    <t xml:space="preserve">mở</t>
  </si>
  <si>
    <t xml:space="preserve">to open</t>
  </si>
  <si>
    <t xml:space="preserve">開</t>
  </si>
  <si>
    <t xml:space="preserve">hoi</t>
  </si>
  <si>
    <t xml:space="preserve">đóng</t>
  </si>
  <si>
    <t xml:space="preserve">to close</t>
  </si>
  <si>
    <t xml:space="preserve">關</t>
  </si>
  <si>
    <t xml:space="preserve">gwaan</t>
  </si>
  <si>
    <t xml:space="preserve">bắt đầu</t>
  </si>
  <si>
    <t xml:space="preserve">to begin / start</t>
  </si>
  <si>
    <t xml:space="preserve">開始</t>
  </si>
  <si>
    <t xml:space="preserve">hoi-ci</t>
  </si>
  <si>
    <t xml:space="preserve">kết thúc</t>
  </si>
  <si>
    <t xml:space="preserve">to end / finish</t>
  </si>
  <si>
    <t xml:space="preserve">結束</t>
  </si>
  <si>
    <t xml:space="preserve">git-cuk</t>
  </si>
  <si>
    <t xml:space="preserve">Sino-Viet</t>
  </si>
  <si>
    <t xml:space="preserve">tiếp tục</t>
  </si>
  <si>
    <t xml:space="preserve">to continue</t>
  </si>
  <si>
    <t xml:space="preserve">繼續</t>
  </si>
  <si>
    <t xml:space="preserve">gai-zuk</t>
  </si>
  <si>
    <t xml:space="preserve">dừng lại</t>
  </si>
  <si>
    <t xml:space="preserve">to stop</t>
  </si>
  <si>
    <t xml:space="preserve">停止</t>
  </si>
  <si>
    <t xml:space="preserve">ting-zi</t>
  </si>
  <si>
    <t xml:space="preserve">sống</t>
  </si>
  <si>
    <t xml:space="preserve">to live</t>
  </si>
  <si>
    <t xml:space="preserve">生活</t>
  </si>
  <si>
    <t xml:space="preserve">saang-wut</t>
  </si>
  <si>
    <t xml:space="preserve">chết</t>
  </si>
  <si>
    <t xml:space="preserve">to die</t>
  </si>
  <si>
    <t xml:space="preserve">死</t>
  </si>
  <si>
    <t xml:space="preserve">sinh</t>
  </si>
  <si>
    <t xml:space="preserve">to be born</t>
  </si>
  <si>
    <t xml:space="preserve">生</t>
  </si>
  <si>
    <t xml:space="preserve">saang</t>
  </si>
  <si>
    <t xml:space="preserve">học</t>
  </si>
  <si>
    <t xml:space="preserve">to study/learn</t>
  </si>
  <si>
    <t xml:space="preserve">學</t>
  </si>
  <si>
    <t xml:space="preserve">hok</t>
  </si>
  <si>
    <t xml:space="preserve">Sino-Viet: học</t>
  </si>
  <si>
    <t xml:space="preserve">dạy</t>
  </si>
  <si>
    <t xml:space="preserve">to teach</t>
  </si>
  <si>
    <t xml:space="preserve">教</t>
  </si>
  <si>
    <t xml:space="preserve">gaau</t>
  </si>
  <si>
    <t xml:space="preserve">làm việc</t>
  </si>
  <si>
    <t xml:space="preserve">to work</t>
  </si>
  <si>
    <t xml:space="preserve">工作</t>
  </si>
  <si>
    <t xml:space="preserve">gung-zok</t>
  </si>
  <si>
    <t xml:space="preserve">chơi</t>
  </si>
  <si>
    <t xml:space="preserve">to play</t>
  </si>
  <si>
    <t xml:space="preserve">玩</t>
  </si>
  <si>
    <t xml:space="preserve">waan</t>
  </si>
  <si>
    <t xml:space="preserve">chạy</t>
  </si>
  <si>
    <t xml:space="preserve">to run</t>
  </si>
  <si>
    <t xml:space="preserve">跑</t>
  </si>
  <si>
    <t xml:space="preserve">paau</t>
  </si>
  <si>
    <t xml:space="preserve">đứng</t>
  </si>
  <si>
    <t xml:space="preserve">to stand</t>
  </si>
  <si>
    <t xml:space="preserve">站</t>
  </si>
  <si>
    <t xml:space="preserve">zaam</t>
  </si>
  <si>
    <t xml:space="preserve">ngồi</t>
  </si>
  <si>
    <t xml:space="preserve">to sit</t>
  </si>
  <si>
    <t xml:space="preserve">坐</t>
  </si>
  <si>
    <t xml:space="preserve">co</t>
  </si>
  <si>
    <t xml:space="preserve">nằm</t>
  </si>
  <si>
    <t xml:space="preserve">to lie down</t>
  </si>
  <si>
    <t xml:space="preserve">躺</t>
  </si>
  <si>
    <t xml:space="preserve">tong</t>
  </si>
  <si>
    <t xml:space="preserve">giúp</t>
  </si>
  <si>
    <t xml:space="preserve">to help</t>
  </si>
  <si>
    <t xml:space="preserve">幫助</t>
  </si>
  <si>
    <t xml:space="preserve">bong-zo</t>
  </si>
  <si>
    <t xml:space="preserve">trả</t>
  </si>
  <si>
    <t xml:space="preserve">to pay / return</t>
  </si>
  <si>
    <r>
      <rPr>
        <sz val="9"/>
        <color rgb="FF000000"/>
        <rFont val="Noto Sans CJK SC"/>
        <family val="2"/>
      </rPr>
      <t xml:space="preserve">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付</t>
    </r>
  </si>
  <si>
    <t xml:space="preserve">waan/fu</t>
  </si>
  <si>
    <t xml:space="preserve">tìm</t>
  </si>
  <si>
    <t xml:space="preserve">to look for / find</t>
  </si>
  <si>
    <t xml:space="preserve">找</t>
  </si>
  <si>
    <t xml:space="preserve">zaau</t>
  </si>
  <si>
    <t xml:space="preserve">chọn</t>
  </si>
  <si>
    <t xml:space="preserve">to choose</t>
  </si>
  <si>
    <t xml:space="preserve">選擇</t>
  </si>
  <si>
    <t xml:space="preserve">syun-zaak</t>
  </si>
  <si>
    <t xml:space="preserve">thay đổi</t>
  </si>
  <si>
    <t xml:space="preserve">to change</t>
  </si>
  <si>
    <t xml:space="preserve">改變</t>
  </si>
  <si>
    <t xml:space="preserve">goi-bin</t>
  </si>
  <si>
    <t xml:space="preserve">cố gắng</t>
  </si>
  <si>
    <t xml:space="preserve">to try / make effort</t>
  </si>
  <si>
    <t xml:space="preserve">努力</t>
  </si>
  <si>
    <t xml:space="preserve">nou-lik</t>
  </si>
  <si>
    <t xml:space="preserve">quyết định</t>
  </si>
  <si>
    <t xml:space="preserve">to decide</t>
  </si>
  <si>
    <t xml:space="preserve">決定</t>
  </si>
  <si>
    <t xml:space="preserve">kyut-ding</t>
  </si>
  <si>
    <t xml:space="preserve">tin</t>
  </si>
  <si>
    <t xml:space="preserve">to believe / to trust</t>
  </si>
  <si>
    <t xml:space="preserve">信</t>
  </si>
  <si>
    <t xml:space="preserve">seon</t>
  </si>
  <si>
    <t xml:space="preserve">Sino-Viet: tín</t>
  </si>
  <si>
    <t xml:space="preserve">sợ</t>
  </si>
  <si>
    <t xml:space="preserve">to be afraid</t>
  </si>
  <si>
    <t xml:space="preserve">怕</t>
  </si>
  <si>
    <t xml:space="preserve">paa</t>
  </si>
  <si>
    <t xml:space="preserve">cười</t>
  </si>
  <si>
    <t xml:space="preserve">to laugh / to smile</t>
  </si>
  <si>
    <t xml:space="preserve">笑</t>
  </si>
  <si>
    <t xml:space="preserve">siu</t>
  </si>
  <si>
    <t xml:space="preserve">khóc</t>
  </si>
  <si>
    <t xml:space="preserve">to cry</t>
  </si>
  <si>
    <t xml:space="preserve">哭</t>
  </si>
  <si>
    <t xml:space="preserve">huk</t>
  </si>
  <si>
    <t xml:space="preserve">nấu</t>
  </si>
  <si>
    <t xml:space="preserve">to cook</t>
  </si>
  <si>
    <t xml:space="preserve">煮</t>
  </si>
  <si>
    <t xml:space="preserve">zyu</t>
  </si>
  <si>
    <t xml:space="preserve">rửa</t>
  </si>
  <si>
    <t xml:space="preserve">to wash</t>
  </si>
  <si>
    <t xml:space="preserve">洗</t>
  </si>
  <si>
    <t xml:space="preserve">sai</t>
  </si>
  <si>
    <t xml:space="preserve">lái</t>
  </si>
  <si>
    <t xml:space="preserve">to drive</t>
  </si>
  <si>
    <t xml:space="preserve">駕駛</t>
  </si>
  <si>
    <t xml:space="preserve">gaa-sai</t>
  </si>
  <si>
    <t xml:space="preserve">bay</t>
  </si>
  <si>
    <t xml:space="preserve">to fly</t>
  </si>
  <si>
    <t xml:space="preserve">飛</t>
  </si>
  <si>
    <t xml:space="preserve">fei</t>
  </si>
  <si>
    <t xml:space="preserve">bơi</t>
  </si>
  <si>
    <t xml:space="preserve">to swim</t>
  </si>
  <si>
    <t xml:space="preserve">游泳</t>
  </si>
  <si>
    <t xml:space="preserve">jau-wing</t>
  </si>
  <si>
    <t xml:space="preserve">hát</t>
  </si>
  <si>
    <t xml:space="preserve">to sing</t>
  </si>
  <si>
    <t xml:space="preserve">唱歌</t>
  </si>
  <si>
    <t xml:space="preserve">coeng-go</t>
  </si>
  <si>
    <t xml:space="preserve">tốt</t>
  </si>
  <si>
    <t xml:space="preserve">good</t>
  </si>
  <si>
    <t xml:space="preserve">好</t>
  </si>
  <si>
    <t xml:space="preserve">hou</t>
  </si>
  <si>
    <t xml:space="preserve">xấu</t>
  </si>
  <si>
    <t xml:space="preserve">bad / ugly</t>
  </si>
  <si>
    <r>
      <rPr>
        <sz val="9"/>
        <color rgb="FF000000"/>
        <rFont val="Noto Sans CJK SC"/>
        <family val="2"/>
      </rPr>
      <t xml:space="preserve">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醜</t>
    </r>
  </si>
  <si>
    <t xml:space="preserve">waai/cau</t>
  </si>
  <si>
    <t xml:space="preserve">đẹp</t>
  </si>
  <si>
    <t xml:space="preserve">beautiful / pretty</t>
  </si>
  <si>
    <t xml:space="preserve">美麗</t>
  </si>
  <si>
    <t xml:space="preserve">mei-lai</t>
  </si>
  <si>
    <t xml:space="preserve">lớn / to</t>
  </si>
  <si>
    <t xml:space="preserve">big / large</t>
  </si>
  <si>
    <t xml:space="preserve">大</t>
  </si>
  <si>
    <t xml:space="preserve">to is Southern</t>
  </si>
  <si>
    <t xml:space="preserve">nhỏ</t>
  </si>
  <si>
    <t xml:space="preserve">small / little</t>
  </si>
  <si>
    <t xml:space="preserve">小</t>
  </si>
  <si>
    <t xml:space="preserve">cao</t>
  </si>
  <si>
    <t xml:space="preserve">tall / high</t>
  </si>
  <si>
    <t xml:space="preserve">高</t>
  </si>
  <si>
    <t xml:space="preserve">gou</t>
  </si>
  <si>
    <t xml:space="preserve">Sino-Viet: cao</t>
  </si>
  <si>
    <t xml:space="preserve">thấp</t>
  </si>
  <si>
    <t xml:space="preserve">short / low</t>
  </si>
  <si>
    <r>
      <rPr>
        <sz val="9"/>
        <color rgb="FF000000"/>
        <rFont val="Noto Sans CJK SC"/>
        <family val="2"/>
      </rPr>
      <t xml:space="preserve">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低</t>
    </r>
  </si>
  <si>
    <t xml:space="preserve">ai/dai</t>
  </si>
  <si>
    <t xml:space="preserve">dài</t>
  </si>
  <si>
    <t xml:space="preserve">long</t>
  </si>
  <si>
    <t xml:space="preserve">長</t>
  </si>
  <si>
    <t xml:space="preserve">coeng</t>
  </si>
  <si>
    <t xml:space="preserve">ngắn</t>
  </si>
  <si>
    <t xml:space="preserve">short (length)</t>
  </si>
  <si>
    <t xml:space="preserve">短</t>
  </si>
  <si>
    <t xml:space="preserve">dyun</t>
  </si>
  <si>
    <t xml:space="preserve">mới</t>
  </si>
  <si>
    <t xml:space="preserve">new</t>
  </si>
  <si>
    <t xml:space="preserve">新</t>
  </si>
  <si>
    <t xml:space="preserve">san</t>
  </si>
  <si>
    <t xml:space="preserve">cũ</t>
  </si>
  <si>
    <t xml:space="preserve">old (things)</t>
  </si>
  <si>
    <t xml:space="preserve">舊</t>
  </si>
  <si>
    <t xml:space="preserve">trẻ</t>
  </si>
  <si>
    <t xml:space="preserve">young</t>
  </si>
  <si>
    <t xml:space="preserve">年輕</t>
  </si>
  <si>
    <t xml:space="preserve">nin-hing</t>
  </si>
  <si>
    <t xml:space="preserve">già</t>
  </si>
  <si>
    <t xml:space="preserve">old (person)</t>
  </si>
  <si>
    <t xml:space="preserve">老</t>
  </si>
  <si>
    <t xml:space="preserve">lou</t>
  </si>
  <si>
    <t xml:space="preserve">nhanh</t>
  </si>
  <si>
    <t xml:space="preserve">fast / quick</t>
  </si>
  <si>
    <t xml:space="preserve">快</t>
  </si>
  <si>
    <t xml:space="preserve">faai</t>
  </si>
  <si>
    <t xml:space="preserve">chậm</t>
  </si>
  <si>
    <t xml:space="preserve">slow</t>
  </si>
  <si>
    <t xml:space="preserve">慢</t>
  </si>
  <si>
    <t xml:space="preserve">maan</t>
  </si>
  <si>
    <t xml:space="preserve">nhiều</t>
  </si>
  <si>
    <t xml:space="preserve">many / much / a lot</t>
  </si>
  <si>
    <t xml:space="preserve">多</t>
  </si>
  <si>
    <t xml:space="preserve">do</t>
  </si>
  <si>
    <t xml:space="preserve">ít</t>
  </si>
  <si>
    <t xml:space="preserve">few / little</t>
  </si>
  <si>
    <t xml:space="preserve">少</t>
  </si>
  <si>
    <t xml:space="preserve">đủ</t>
  </si>
  <si>
    <t xml:space="preserve">enough / sufficient</t>
  </si>
  <si>
    <t xml:space="preserve">足夠</t>
  </si>
  <si>
    <t xml:space="preserve">zuk-gau</t>
  </si>
  <si>
    <t xml:space="preserve">nặng</t>
  </si>
  <si>
    <t xml:space="preserve">heavy</t>
  </si>
  <si>
    <t xml:space="preserve">重</t>
  </si>
  <si>
    <t xml:space="preserve">zung</t>
  </si>
  <si>
    <t xml:space="preserve">nhẹ</t>
  </si>
  <si>
    <t xml:space="preserve">light (weight)</t>
  </si>
  <si>
    <t xml:space="preserve">輕</t>
  </si>
  <si>
    <t xml:space="preserve">khó</t>
  </si>
  <si>
    <t xml:space="preserve">difficult</t>
  </si>
  <si>
    <t xml:space="preserve">難</t>
  </si>
  <si>
    <t xml:space="preserve">naan</t>
  </si>
  <si>
    <t xml:space="preserve">dễ</t>
  </si>
  <si>
    <t xml:space="preserve">easy</t>
  </si>
  <si>
    <t xml:space="preserve">容易</t>
  </si>
  <si>
    <t xml:space="preserve">jung-ji</t>
  </si>
  <si>
    <t xml:space="preserve">quan trọng</t>
  </si>
  <si>
    <t xml:space="preserve">important</t>
  </si>
  <si>
    <t xml:space="preserve">重要</t>
  </si>
  <si>
    <t xml:space="preserve">zung-jiu</t>
  </si>
  <si>
    <t xml:space="preserve">cần thiết</t>
  </si>
  <si>
    <t xml:space="preserve">necessary</t>
  </si>
  <si>
    <t xml:space="preserve">必要</t>
  </si>
  <si>
    <t xml:space="preserve">bit-jiu</t>
  </si>
  <si>
    <t xml:space="preserve">thú vị</t>
  </si>
  <si>
    <t xml:space="preserve">interesting</t>
  </si>
  <si>
    <t xml:space="preserve">有趣</t>
  </si>
  <si>
    <t xml:space="preserve">jau-ceoi</t>
  </si>
  <si>
    <t xml:space="preserve">nhàm chán</t>
  </si>
  <si>
    <t xml:space="preserve">boring</t>
  </si>
  <si>
    <t xml:space="preserve">無聊</t>
  </si>
  <si>
    <t xml:space="preserve">mou-liu</t>
  </si>
  <si>
    <t xml:space="preserve">vui vẻ</t>
  </si>
  <si>
    <t xml:space="preserve">happy / cheerful</t>
  </si>
  <si>
    <t xml:space="preserve">hạnh phúc</t>
  </si>
  <si>
    <t xml:space="preserve">happy / blessed</t>
  </si>
  <si>
    <t xml:space="preserve">幸福</t>
  </si>
  <si>
    <t xml:space="preserve">hang-fuk</t>
  </si>
  <si>
    <t xml:space="preserve">tức giận</t>
  </si>
  <si>
    <t xml:space="preserve">angry</t>
  </si>
  <si>
    <t xml:space="preserve">憤怒</t>
  </si>
  <si>
    <t xml:space="preserve">fan-nou</t>
  </si>
  <si>
    <t xml:space="preserve">lo lắng</t>
  </si>
  <si>
    <t xml:space="preserve">worried</t>
  </si>
  <si>
    <t xml:space="preserve">擔心</t>
  </si>
  <si>
    <t xml:space="preserve">daam-sam</t>
  </si>
  <si>
    <t xml:space="preserve">mệt</t>
  </si>
  <si>
    <t xml:space="preserve">tired</t>
  </si>
  <si>
    <t xml:space="preserve">累</t>
  </si>
  <si>
    <t xml:space="preserve">gui</t>
  </si>
  <si>
    <t xml:space="preserve">đói</t>
  </si>
  <si>
    <t xml:space="preserve">hungry</t>
  </si>
  <si>
    <t xml:space="preserve">肚餓</t>
  </si>
  <si>
    <t xml:space="preserve">tou-ngo</t>
  </si>
  <si>
    <t xml:space="preserve">khát</t>
  </si>
  <si>
    <t xml:space="preserve">thirsty</t>
  </si>
  <si>
    <t xml:space="preserve">口渴</t>
  </si>
  <si>
    <t xml:space="preserve">hau-hot</t>
  </si>
  <si>
    <t xml:space="preserve">nóng</t>
  </si>
  <si>
    <t xml:space="preserve">hot</t>
  </si>
  <si>
    <t xml:space="preserve">熱</t>
  </si>
  <si>
    <t xml:space="preserve">jit</t>
  </si>
  <si>
    <t xml:space="preserve">lạnh</t>
  </si>
  <si>
    <t xml:space="preserve">cold</t>
  </si>
  <si>
    <t xml:space="preserve">冷</t>
  </si>
  <si>
    <t xml:space="preserve">laang</t>
  </si>
  <si>
    <t xml:space="preserve">ấm</t>
  </si>
  <si>
    <t xml:space="preserve">warm</t>
  </si>
  <si>
    <t xml:space="preserve">暖</t>
  </si>
  <si>
    <t xml:space="preserve">nyun</t>
  </si>
  <si>
    <t xml:space="preserve">mát</t>
  </si>
  <si>
    <t xml:space="preserve">cool / fresh</t>
  </si>
  <si>
    <t xml:space="preserve">涼快</t>
  </si>
  <si>
    <t xml:space="preserve">loeng-faai</t>
  </si>
  <si>
    <t xml:space="preserve">sạch</t>
  </si>
  <si>
    <t xml:space="preserve">clean</t>
  </si>
  <si>
    <t xml:space="preserve">乾淨</t>
  </si>
  <si>
    <t xml:space="preserve">gon-zing</t>
  </si>
  <si>
    <t xml:space="preserve">bẩn</t>
  </si>
  <si>
    <t xml:space="preserve">dirty</t>
  </si>
  <si>
    <t xml:space="preserve">骯髒</t>
  </si>
  <si>
    <t xml:space="preserve">ong-zong</t>
  </si>
  <si>
    <t xml:space="preserve">bright / light</t>
  </si>
  <si>
    <t xml:space="preserve">光亮</t>
  </si>
  <si>
    <t xml:space="preserve">gwong-loeng</t>
  </si>
  <si>
    <t xml:space="preserve">dark</t>
  </si>
  <si>
    <t xml:space="preserve">黑暗</t>
  </si>
  <si>
    <t xml:space="preserve">hak-am</t>
  </si>
  <si>
    <t xml:space="preserve">đúng</t>
  </si>
  <si>
    <t xml:space="preserve">correct / right</t>
  </si>
  <si>
    <t xml:space="preserve">正確</t>
  </si>
  <si>
    <t xml:space="preserve">zing-kok</t>
  </si>
  <si>
    <t xml:space="preserve">wrong</t>
  </si>
  <si>
    <t xml:space="preserve">錯</t>
  </si>
  <si>
    <t xml:space="preserve">thật</t>
  </si>
  <si>
    <t xml:space="preserve">real / true</t>
  </si>
  <si>
    <t xml:space="preserve">真實</t>
  </si>
  <si>
    <t xml:space="preserve">zan-sat</t>
  </si>
  <si>
    <t xml:space="preserve">giả</t>
  </si>
  <si>
    <t xml:space="preserve">fake / false</t>
  </si>
  <si>
    <t xml:space="preserve">假</t>
  </si>
  <si>
    <t xml:space="preserve">gaa</t>
  </si>
  <si>
    <t xml:space="preserve">đặc biệt</t>
  </si>
  <si>
    <t xml:space="preserve">special</t>
  </si>
  <si>
    <t xml:space="preserve">特別</t>
  </si>
  <si>
    <t xml:space="preserve">dak-bit</t>
  </si>
  <si>
    <t xml:space="preserve">bình thường</t>
  </si>
  <si>
    <t xml:space="preserve">normal / ordinary</t>
  </si>
  <si>
    <t xml:space="preserve">普通</t>
  </si>
  <si>
    <t xml:space="preserve">pou-tung</t>
  </si>
  <si>
    <t xml:space="preserve">miễn phí</t>
  </si>
  <si>
    <t xml:space="preserve">free (no cost)</t>
  </si>
  <si>
    <t xml:space="preserve">免費</t>
  </si>
  <si>
    <t xml:space="preserve">min-fai</t>
  </si>
  <si>
    <t xml:space="preserve">đắt</t>
  </si>
  <si>
    <t xml:space="preserve">expensive</t>
  </si>
  <si>
    <t xml:space="preserve">貴</t>
  </si>
  <si>
    <t xml:space="preserve">gwai</t>
  </si>
  <si>
    <t xml:space="preserve">rẻ</t>
  </si>
  <si>
    <t xml:space="preserve">cheap</t>
  </si>
  <si>
    <t xml:space="preserve">平</t>
  </si>
  <si>
    <t xml:space="preserve">peng</t>
  </si>
  <si>
    <t xml:space="preserve">khoẻ mạnh</t>
  </si>
  <si>
    <t xml:space="preserve">healthy</t>
  </si>
  <si>
    <t xml:space="preserve">ốm / bệnh</t>
  </si>
  <si>
    <t xml:space="preserve">sick / ill</t>
  </si>
  <si>
    <t xml:space="preserve">病</t>
  </si>
  <si>
    <t xml:space="preserve">beng</t>
  </si>
  <si>
    <t xml:space="preserve">an toàn</t>
  </si>
  <si>
    <t xml:space="preserve">safe</t>
  </si>
  <si>
    <t xml:space="preserve">安全</t>
  </si>
  <si>
    <t xml:space="preserve">on-cyun</t>
  </si>
  <si>
    <t xml:space="preserve">nguy hiểm</t>
  </si>
  <si>
    <t xml:space="preserve">dangerous</t>
  </si>
  <si>
    <t xml:space="preserve">危險</t>
  </si>
  <si>
    <t xml:space="preserve">ngai-him</t>
  </si>
  <si>
    <t xml:space="preserve">mạnh</t>
  </si>
  <si>
    <t xml:space="preserve">strong</t>
  </si>
  <si>
    <t xml:space="preserve">強</t>
  </si>
  <si>
    <t xml:space="preserve">koeng</t>
  </si>
  <si>
    <t xml:space="preserve">yếu</t>
  </si>
  <si>
    <t xml:space="preserve">weak</t>
  </si>
  <si>
    <t xml:space="preserve">弱</t>
  </si>
  <si>
    <t xml:space="preserve">joek</t>
  </si>
  <si>
    <t xml:space="preserve">gì</t>
  </si>
  <si>
    <t xml:space="preserve">what</t>
  </si>
  <si>
    <t xml:space="preserve">什麼</t>
  </si>
  <si>
    <t xml:space="preserve">mat-je</t>
  </si>
  <si>
    <t xml:space="preserve">ai</t>
  </si>
  <si>
    <t xml:space="preserve">who</t>
  </si>
  <si>
    <t xml:space="preserve">誰</t>
  </si>
  <si>
    <t xml:space="preserve">ở đâu</t>
  </si>
  <si>
    <t xml:space="preserve">where</t>
  </si>
  <si>
    <t xml:space="preserve">在哪裡</t>
  </si>
  <si>
    <t xml:space="preserve">hai-bin-dou</t>
  </si>
  <si>
    <t xml:space="preserve">khi nào</t>
  </si>
  <si>
    <t xml:space="preserve">什麼時候</t>
  </si>
  <si>
    <t xml:space="preserve">gei-si</t>
  </si>
  <si>
    <t xml:space="preserve">tại sao / vì sao</t>
  </si>
  <si>
    <t xml:space="preserve">why</t>
  </si>
  <si>
    <t xml:space="preserve">為什麼</t>
  </si>
  <si>
    <t xml:space="preserve">dim-gaai</t>
  </si>
  <si>
    <t xml:space="preserve">như thế nào</t>
  </si>
  <si>
    <t xml:space="preserve">how</t>
  </si>
  <si>
    <t xml:space="preserve">怎樣</t>
  </si>
  <si>
    <t xml:space="preserve">dim-joeng</t>
  </si>
  <si>
    <t xml:space="preserve">bao nhiêu</t>
  </si>
  <si>
    <t xml:space="preserve">how many / how much</t>
  </si>
  <si>
    <t xml:space="preserve">多少</t>
  </si>
  <si>
    <t xml:space="preserve">gei-do</t>
  </si>
  <si>
    <t xml:space="preserve">bao lâu</t>
  </si>
  <si>
    <t xml:space="preserve">how long (time)</t>
  </si>
  <si>
    <t xml:space="preserve">多久</t>
  </si>
  <si>
    <t xml:space="preserve">gei-noi</t>
  </si>
  <si>
    <t xml:space="preserve">bao xa</t>
  </si>
  <si>
    <t xml:space="preserve">how far</t>
  </si>
  <si>
    <t xml:space="preserve">多遠</t>
  </si>
  <si>
    <t xml:space="preserve">gei-jyun</t>
  </si>
  <si>
    <t xml:space="preserve">có không?</t>
  </si>
  <si>
    <t xml:space="preserve">is there? / do you have?</t>
  </si>
  <si>
    <r>
      <rPr>
        <sz val="9"/>
        <color rgb="FF000000"/>
        <rFont val="Noto Sans CJK SC"/>
        <family val="2"/>
      </rPr>
      <t xml:space="preserve">有沒有</t>
    </r>
    <r>
      <rPr>
        <sz val="9"/>
        <color rgb="FF000000"/>
        <rFont val="Arial"/>
        <family val="0"/>
        <charset val="1"/>
      </rPr>
      <t xml:space="preserve">?</t>
    </r>
  </si>
  <si>
    <t xml:space="preserve">jau-mut-jau</t>
  </si>
  <si>
    <t xml:space="preserve">phải không?</t>
  </si>
  <si>
    <t xml:space="preserve">right? / isn't it?</t>
  </si>
  <si>
    <r>
      <rPr>
        <sz val="9"/>
        <color rgb="FF000000"/>
        <rFont val="Noto Sans CJK SC"/>
        <family val="2"/>
      </rPr>
      <t xml:space="preserve">是不是</t>
    </r>
    <r>
      <rPr>
        <sz val="9"/>
        <color rgb="FF000000"/>
        <rFont val="Arial"/>
        <family val="0"/>
        <charset val="1"/>
      </rPr>
      <t xml:space="preserve">?</t>
    </r>
  </si>
  <si>
    <t xml:space="preserve">si-m-si</t>
  </si>
  <si>
    <t xml:space="preserve">ở</t>
  </si>
  <si>
    <t xml:space="preserve">at / in / live</t>
  </si>
  <si>
    <t xml:space="preserve">在</t>
  </si>
  <si>
    <t xml:space="preserve">trong</t>
  </si>
  <si>
    <t xml:space="preserve">inside / in</t>
  </si>
  <si>
    <t xml:space="preserve">裡面</t>
  </si>
  <si>
    <t xml:space="preserve">leoi-min</t>
  </si>
  <si>
    <t xml:space="preserve">ngoài</t>
  </si>
  <si>
    <t xml:space="preserve">outside</t>
  </si>
  <si>
    <t xml:space="preserve">外面</t>
  </si>
  <si>
    <t xml:space="preserve">ngooi-min</t>
  </si>
  <si>
    <t xml:space="preserve">trên</t>
  </si>
  <si>
    <t xml:space="preserve">on / above</t>
  </si>
  <si>
    <t xml:space="preserve">上面</t>
  </si>
  <si>
    <t xml:space="preserve">soeng-min</t>
  </si>
  <si>
    <t xml:space="preserve">dưới</t>
  </si>
  <si>
    <t xml:space="preserve">below / under</t>
  </si>
  <si>
    <t xml:space="preserve">下面</t>
  </si>
  <si>
    <t xml:space="preserve">haa-min</t>
  </si>
  <si>
    <t xml:space="preserve">in front / before</t>
  </si>
  <si>
    <t xml:space="preserve">前面</t>
  </si>
  <si>
    <t xml:space="preserve">cin-min</t>
  </si>
  <si>
    <t xml:space="preserve">behind / after</t>
  </si>
  <si>
    <t xml:space="preserve">後面</t>
  </si>
  <si>
    <t xml:space="preserve">hau-min</t>
  </si>
  <si>
    <t xml:space="preserve">bên cạnh</t>
  </si>
  <si>
    <t xml:space="preserve">beside / next to</t>
  </si>
  <si>
    <t xml:space="preserve">旁邊</t>
  </si>
  <si>
    <t xml:space="preserve">pong-bin</t>
  </si>
  <si>
    <t xml:space="preserve">giữa</t>
  </si>
  <si>
    <t xml:space="preserve">between / in the middle</t>
  </si>
  <si>
    <t xml:space="preserve">中間</t>
  </si>
  <si>
    <t xml:space="preserve">zung-gaan</t>
  </si>
  <si>
    <t xml:space="preserve">đối diện</t>
  </si>
  <si>
    <t xml:space="preserve">across from</t>
  </si>
  <si>
    <t xml:space="preserve">對面</t>
  </si>
  <si>
    <t xml:space="preserve">deoi-min</t>
  </si>
  <si>
    <t xml:space="preserve">với</t>
  </si>
  <si>
    <t xml:space="preserve">with</t>
  </si>
  <si>
    <r>
      <rPr>
        <sz val="9"/>
        <color rgb="FF000000"/>
        <rFont val="Noto Sans CJK SC"/>
        <family val="2"/>
      </rPr>
      <t xml:space="preserve">跟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同</t>
    </r>
  </si>
  <si>
    <t xml:space="preserve">gan/tung</t>
  </si>
  <si>
    <t xml:space="preserve">for / to give</t>
  </si>
  <si>
    <r>
      <rPr>
        <sz val="9"/>
        <color rgb="FF000000"/>
        <rFont val="Noto Sans CJK SC"/>
        <family val="2"/>
      </rPr>
      <t xml:space="preserve">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給</t>
    </r>
  </si>
  <si>
    <t xml:space="preserve">wai/kap</t>
  </si>
  <si>
    <t xml:space="preserve">about / concerning</t>
  </si>
  <si>
    <t xml:space="preserve">關於</t>
  </si>
  <si>
    <t xml:space="preserve">gwaan-jyu</t>
  </si>
  <si>
    <t xml:space="preserve">từ</t>
  </si>
  <si>
    <t xml:space="preserve">from</t>
  </si>
  <si>
    <t xml:space="preserve">從</t>
  </si>
  <si>
    <t xml:space="preserve">cung</t>
  </si>
  <si>
    <t xml:space="preserve">to / until</t>
  </si>
  <si>
    <t xml:space="preserve">到</t>
  </si>
  <si>
    <t xml:space="preserve">dou</t>
  </si>
  <si>
    <t xml:space="preserve">của</t>
  </si>
  <si>
    <t xml:space="preserve">of / belonging to</t>
  </si>
  <si>
    <t xml:space="preserve">的</t>
  </si>
  <si>
    <t xml:space="preserve">dik</t>
  </si>
  <si>
    <t xml:space="preserve">possession marker</t>
  </si>
  <si>
    <t xml:space="preserve">và</t>
  </si>
  <si>
    <t xml:space="preserve">and</t>
  </si>
  <si>
    <t xml:space="preserve">和</t>
  </si>
  <si>
    <t xml:space="preserve">wo</t>
  </si>
  <si>
    <t xml:space="preserve">hoặc</t>
  </si>
  <si>
    <t xml:space="preserve">or</t>
  </si>
  <si>
    <t xml:space="preserve">或者</t>
  </si>
  <si>
    <t xml:space="preserve">waak-ze</t>
  </si>
  <si>
    <t xml:space="preserve">nhưng</t>
  </si>
  <si>
    <t xml:space="preserve">but</t>
  </si>
  <si>
    <t xml:space="preserve">但是</t>
  </si>
  <si>
    <t xml:space="preserve">daan-hai</t>
  </si>
  <si>
    <t xml:space="preserve">vì</t>
  </si>
  <si>
    <t xml:space="preserve">because</t>
  </si>
  <si>
    <t xml:space="preserve">因為</t>
  </si>
  <si>
    <t xml:space="preserve">jan-wai</t>
  </si>
  <si>
    <t xml:space="preserve">nên</t>
  </si>
  <si>
    <t xml:space="preserve">so / therefore</t>
  </si>
  <si>
    <t xml:space="preserve">所以</t>
  </si>
  <si>
    <t xml:space="preserve">so-ji</t>
  </si>
  <si>
    <t xml:space="preserve">nếu</t>
  </si>
  <si>
    <t xml:space="preserve">if</t>
  </si>
  <si>
    <t xml:space="preserve">如果</t>
  </si>
  <si>
    <t xml:space="preserve">jyu-gwo</t>
  </si>
  <si>
    <t xml:space="preserve">mặc dù</t>
  </si>
  <si>
    <t xml:space="preserve">although</t>
  </si>
  <si>
    <t xml:space="preserve">雖然</t>
  </si>
  <si>
    <t xml:space="preserve">seoi-jin</t>
  </si>
  <si>
    <t xml:space="preserve">cũng</t>
  </si>
  <si>
    <t xml:space="preserve">also / too</t>
  </si>
  <si>
    <r>
      <rPr>
        <sz val="9"/>
        <color rgb="FF000000"/>
        <rFont val="Noto Sans CJK SC"/>
        <family val="2"/>
      </rPr>
      <t xml:space="preserve">也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都</t>
    </r>
  </si>
  <si>
    <t xml:space="preserve">je/dou</t>
  </si>
  <si>
    <t xml:space="preserve">thì</t>
  </si>
  <si>
    <t xml:space="preserve">then (conditional)</t>
  </si>
  <si>
    <t xml:space="preserve">那麼</t>
  </si>
  <si>
    <t xml:space="preserve">naa-mo</t>
  </si>
  <si>
    <t xml:space="preserve">mà</t>
  </si>
  <si>
    <t xml:space="preserve">but / yet / (emphasis)</t>
  </si>
  <si>
    <r>
      <rPr>
        <sz val="9"/>
        <color rgb="FF000000"/>
        <rFont val="Noto Sans CJK SC"/>
        <family val="2"/>
      </rPr>
      <t xml:space="preserve">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但</t>
    </r>
  </si>
  <si>
    <t xml:space="preserve">ji/daan</t>
  </si>
  <si>
    <t xml:space="preserve">để</t>
  </si>
  <si>
    <t xml:space="preserve">in order to / so that</t>
  </si>
  <si>
    <t xml:space="preserve">為了</t>
  </si>
  <si>
    <t xml:space="preserve">wai-liu</t>
  </si>
  <si>
    <t xml:space="preserve">tuy nhiên</t>
  </si>
  <si>
    <t xml:space="preserve">however</t>
  </si>
  <si>
    <t xml:space="preserve">然而</t>
  </si>
  <si>
    <t xml:space="preserve">jin-ji</t>
  </si>
  <si>
    <t xml:space="preserve">hơn nữa</t>
  </si>
  <si>
    <t xml:space="preserve">moreover / furthermore</t>
  </si>
  <si>
    <t xml:space="preserve">而且</t>
  </si>
  <si>
    <t xml:space="preserve">ji-ce</t>
  </si>
  <si>
    <t xml:space="preserve">vì vậy</t>
  </si>
  <si>
    <t xml:space="preserve">therefore / thus</t>
  </si>
  <si>
    <t xml:space="preserve">因此</t>
  </si>
  <si>
    <t xml:space="preserve">jan-ci</t>
  </si>
  <si>
    <t xml:space="preserve">cơm</t>
  </si>
  <si>
    <t xml:space="preserve">rice (cooked)</t>
  </si>
  <si>
    <t xml:space="preserve">飯</t>
  </si>
  <si>
    <t xml:space="preserve">faan</t>
  </si>
  <si>
    <t xml:space="preserve">phở</t>
  </si>
  <si>
    <t xml:space="preserve">pho noodle soup</t>
  </si>
  <si>
    <t xml:space="preserve">河粉湯</t>
  </si>
  <si>
    <t xml:space="preserve">ho-fan-tong</t>
  </si>
  <si>
    <t xml:space="preserve">iconic Vietnamese</t>
  </si>
  <si>
    <t xml:space="preserve">bún</t>
  </si>
  <si>
    <t xml:space="preserve">rice vermicelli</t>
  </si>
  <si>
    <t xml:space="preserve">米粉</t>
  </si>
  <si>
    <t xml:space="preserve">mai-fan</t>
  </si>
  <si>
    <t xml:space="preserve">bánh mì</t>
  </si>
  <si>
    <t xml:space="preserve">bread / baguette sandwich</t>
  </si>
  <si>
    <t xml:space="preserve">麵包</t>
  </si>
  <si>
    <t xml:space="preserve">min-baau</t>
  </si>
  <si>
    <t xml:space="preserve">bánh</t>
  </si>
  <si>
    <t xml:space="preserve">cake / pastry / bread</t>
  </si>
  <si>
    <r>
      <rPr>
        <sz val="9"/>
        <color rgb="FF000000"/>
        <rFont val="Noto Sans CJK SC"/>
        <family val="2"/>
      </rPr>
      <t xml:space="preserve">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糕</t>
    </r>
  </si>
  <si>
    <t xml:space="preserve">beng/gou</t>
  </si>
  <si>
    <t xml:space="preserve">thịt</t>
  </si>
  <si>
    <t xml:space="preserve">meat</t>
  </si>
  <si>
    <t xml:space="preserve">肉</t>
  </si>
  <si>
    <t xml:space="preserve">juk</t>
  </si>
  <si>
    <t xml:space="preserve">thịt bò</t>
  </si>
  <si>
    <t xml:space="preserve">beef</t>
  </si>
  <si>
    <t xml:space="preserve">牛肉</t>
  </si>
  <si>
    <t xml:space="preserve">ngau-juk</t>
  </si>
  <si>
    <t xml:space="preserve">thịt heo / thịt lợn</t>
  </si>
  <si>
    <t xml:space="preserve">pork</t>
  </si>
  <si>
    <t xml:space="preserve">豬肉</t>
  </si>
  <si>
    <t xml:space="preserve">zyu-juk</t>
  </si>
  <si>
    <t xml:space="preserve">heo = Southern</t>
  </si>
  <si>
    <t xml:space="preserve">thịt gà</t>
  </si>
  <si>
    <t xml:space="preserve">chicken (meat)</t>
  </si>
  <si>
    <t xml:space="preserve">雞肉</t>
  </si>
  <si>
    <t xml:space="preserve">gai-juk</t>
  </si>
  <si>
    <t xml:space="preserve">cá</t>
  </si>
  <si>
    <t xml:space="preserve">fish</t>
  </si>
  <si>
    <t xml:space="preserve">魚</t>
  </si>
  <si>
    <t xml:space="preserve">jyu</t>
  </si>
  <si>
    <t xml:space="preserve">tôm</t>
  </si>
  <si>
    <t xml:space="preserve">shrimp/prawn</t>
  </si>
  <si>
    <t xml:space="preserve">蝦</t>
  </si>
  <si>
    <t xml:space="preserve">mực</t>
  </si>
  <si>
    <t xml:space="preserve">squid</t>
  </si>
  <si>
    <t xml:space="preserve">墨魚</t>
  </si>
  <si>
    <t xml:space="preserve">mak-jyu</t>
  </si>
  <si>
    <t xml:space="preserve">rau</t>
  </si>
  <si>
    <t xml:space="preserve">vegetables</t>
  </si>
  <si>
    <t xml:space="preserve">蔬菜</t>
  </si>
  <si>
    <t xml:space="preserve">so-coi</t>
  </si>
  <si>
    <t xml:space="preserve">trái cây / hoa quả</t>
  </si>
  <si>
    <t xml:space="preserve">fruit</t>
  </si>
  <si>
    <t xml:space="preserve">水果</t>
  </si>
  <si>
    <t xml:space="preserve">seoi-gwo</t>
  </si>
  <si>
    <t xml:space="preserve">trái cây = Southern</t>
  </si>
  <si>
    <t xml:space="preserve">trứng</t>
  </si>
  <si>
    <t xml:space="preserve">egg</t>
  </si>
  <si>
    <t xml:space="preserve">蛋</t>
  </si>
  <si>
    <t xml:space="preserve">daan</t>
  </si>
  <si>
    <t xml:space="preserve">muối</t>
  </si>
  <si>
    <t xml:space="preserve">salt</t>
  </si>
  <si>
    <t xml:space="preserve">鹽</t>
  </si>
  <si>
    <t xml:space="preserve">jim</t>
  </si>
  <si>
    <t xml:space="preserve">đường</t>
  </si>
  <si>
    <t xml:space="preserve">sugar</t>
  </si>
  <si>
    <t xml:space="preserve">糖</t>
  </si>
  <si>
    <t xml:space="preserve">dầu</t>
  </si>
  <si>
    <t xml:space="preserve">oil</t>
  </si>
  <si>
    <t xml:space="preserve">油</t>
  </si>
  <si>
    <t xml:space="preserve">nước mắm</t>
  </si>
  <si>
    <t xml:space="preserve">fish sauce</t>
  </si>
  <si>
    <t xml:space="preserve">魚露</t>
  </si>
  <si>
    <t xml:space="preserve">jyu-lou</t>
  </si>
  <si>
    <t xml:space="preserve">essential in Viet cooking</t>
  </si>
  <si>
    <t xml:space="preserve">tương ớt</t>
  </si>
  <si>
    <t xml:space="preserve">chili sauce</t>
  </si>
  <si>
    <t xml:space="preserve">辣椒醬</t>
  </si>
  <si>
    <t xml:space="preserve">laat-ziu-zoeng</t>
  </si>
  <si>
    <t xml:space="preserve">nước</t>
  </si>
  <si>
    <t xml:space="preserve">water</t>
  </si>
  <si>
    <t xml:space="preserve">水</t>
  </si>
  <si>
    <t xml:space="preserve">trà</t>
  </si>
  <si>
    <t xml:space="preserve">tea</t>
  </si>
  <si>
    <t xml:space="preserve">茶</t>
  </si>
  <si>
    <t xml:space="preserve">caa</t>
  </si>
  <si>
    <t xml:space="preserve">Sino-Viet: trà</t>
  </si>
  <si>
    <t xml:space="preserve">cà phê</t>
  </si>
  <si>
    <t xml:space="preserve">coffee</t>
  </si>
  <si>
    <t xml:space="preserve">咖啡</t>
  </si>
  <si>
    <t xml:space="preserve">gaa-fe</t>
  </si>
  <si>
    <t xml:space="preserve">bia</t>
  </si>
  <si>
    <t xml:space="preserve">beer</t>
  </si>
  <si>
    <t xml:space="preserve">啤酒</t>
  </si>
  <si>
    <t xml:space="preserve">be-zau</t>
  </si>
  <si>
    <t xml:space="preserve">rượu</t>
  </si>
  <si>
    <t xml:space="preserve">alcohol / wine / spirits</t>
  </si>
  <si>
    <t xml:space="preserve">酒</t>
  </si>
  <si>
    <t xml:space="preserve">zau</t>
  </si>
  <si>
    <t xml:space="preserve">sữa</t>
  </si>
  <si>
    <t xml:space="preserve">milk</t>
  </si>
  <si>
    <t xml:space="preserve">牛奶</t>
  </si>
  <si>
    <t xml:space="preserve">ngau-naai</t>
  </si>
  <si>
    <t xml:space="preserve">nước ép</t>
  </si>
  <si>
    <t xml:space="preserve">juice</t>
  </si>
  <si>
    <t xml:space="preserve">果汁</t>
  </si>
  <si>
    <t xml:space="preserve">gwo-zap</t>
  </si>
  <si>
    <t xml:space="preserve">ngon</t>
  </si>
  <si>
    <t xml:space="preserve">delicious / tasty</t>
  </si>
  <si>
    <t xml:space="preserve">好味</t>
  </si>
  <si>
    <t xml:space="preserve">hou-mei</t>
  </si>
  <si>
    <t xml:space="preserve">cay</t>
  </si>
  <si>
    <t xml:space="preserve">spicy</t>
  </si>
  <si>
    <t xml:space="preserve">辣</t>
  </si>
  <si>
    <t xml:space="preserve">laat</t>
  </si>
  <si>
    <t xml:space="preserve">ngọt</t>
  </si>
  <si>
    <t xml:space="preserve">sweet</t>
  </si>
  <si>
    <t xml:space="preserve">甜</t>
  </si>
  <si>
    <t xml:space="preserve">tim</t>
  </si>
  <si>
    <t xml:space="preserve">chua</t>
  </si>
  <si>
    <t xml:space="preserve">sour</t>
  </si>
  <si>
    <t xml:space="preserve">酸</t>
  </si>
  <si>
    <t xml:space="preserve">syun</t>
  </si>
  <si>
    <t xml:space="preserve">đắng</t>
  </si>
  <si>
    <t xml:space="preserve">bitter</t>
  </si>
  <si>
    <t xml:space="preserve">苦</t>
  </si>
  <si>
    <t xml:space="preserve">mặn</t>
  </si>
  <si>
    <t xml:space="preserve">salty</t>
  </si>
  <si>
    <t xml:space="preserve">鹹</t>
  </si>
  <si>
    <t xml:space="preserve">haam</t>
  </si>
  <si>
    <t xml:space="preserve">nhạt</t>
  </si>
  <si>
    <t xml:space="preserve">bland / unsalted</t>
  </si>
  <si>
    <t xml:space="preserve">淡</t>
  </si>
  <si>
    <t xml:space="preserve">daam</t>
  </si>
  <si>
    <t xml:space="preserve">no</t>
  </si>
  <si>
    <t xml:space="preserve">full (after eating)</t>
  </si>
  <si>
    <t xml:space="preserve">飽</t>
  </si>
  <si>
    <t xml:space="preserve">baau</t>
  </si>
  <si>
    <t xml:space="preserve">gọi món</t>
  </si>
  <si>
    <t xml:space="preserve">to order food</t>
  </si>
  <si>
    <t xml:space="preserve">叫菜</t>
  </si>
  <si>
    <t xml:space="preserve">giu-coi</t>
  </si>
  <si>
    <t xml:space="preserve">tính tiền</t>
  </si>
  <si>
    <t xml:space="preserve">bill please / check</t>
  </si>
  <si>
    <t xml:space="preserve">埋單</t>
  </si>
  <si>
    <t xml:space="preserve">maai-daan</t>
  </si>
  <si>
    <t xml:space="preserve">xe máy</t>
  </si>
  <si>
    <t xml:space="preserve">motorbike</t>
  </si>
  <si>
    <t xml:space="preserve">摩托車</t>
  </si>
  <si>
    <t xml:space="preserve">mo-tok-ce</t>
  </si>
  <si>
    <t xml:space="preserve">xe máy = Southern common</t>
  </si>
  <si>
    <t xml:space="preserve">xe buýt</t>
  </si>
  <si>
    <t xml:space="preserve">bus</t>
  </si>
  <si>
    <t xml:space="preserve">巴士</t>
  </si>
  <si>
    <t xml:space="preserve">baa-si</t>
  </si>
  <si>
    <t xml:space="preserve">xe taxi</t>
  </si>
  <si>
    <t xml:space="preserve">taxi</t>
  </si>
  <si>
    <t xml:space="preserve">的士</t>
  </si>
  <si>
    <t xml:space="preserve">dik-si</t>
  </si>
  <si>
    <t xml:space="preserve">xe hơi / ô tô</t>
  </si>
  <si>
    <t xml:space="preserve">car</t>
  </si>
  <si>
    <t xml:space="preserve">汽車</t>
  </si>
  <si>
    <t xml:space="preserve">hei-ce</t>
  </si>
  <si>
    <t xml:space="preserve">xe hơi = Southern</t>
  </si>
  <si>
    <t xml:space="preserve">xe đạp</t>
  </si>
  <si>
    <t xml:space="preserve">bicycle</t>
  </si>
  <si>
    <t xml:space="preserve">單車</t>
  </si>
  <si>
    <t xml:space="preserve">daan-ce</t>
  </si>
  <si>
    <t xml:space="preserve">xe tải</t>
  </si>
  <si>
    <t xml:space="preserve">truck</t>
  </si>
  <si>
    <t xml:space="preserve">貨車</t>
  </si>
  <si>
    <t xml:space="preserve">fo-ce</t>
  </si>
  <si>
    <t xml:space="preserve">tàu</t>
  </si>
  <si>
    <t xml:space="preserve">boat / train</t>
  </si>
  <si>
    <r>
      <rPr>
        <sz val="9"/>
        <color rgb="FF000000"/>
        <rFont val="Noto Sans CJK SC"/>
        <family val="2"/>
      </rPr>
      <t xml:space="preserve">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火車</t>
    </r>
  </si>
  <si>
    <t xml:space="preserve">syun/fo-ce</t>
  </si>
  <si>
    <t xml:space="preserve">máy bay</t>
  </si>
  <si>
    <t xml:space="preserve">airplane</t>
  </si>
  <si>
    <t xml:space="preserve">飛機</t>
  </si>
  <si>
    <t xml:space="preserve">fei-gei</t>
  </si>
  <si>
    <t xml:space="preserve">tàu điện ngầm</t>
  </si>
  <si>
    <t xml:space="preserve">subway / metro</t>
  </si>
  <si>
    <t xml:space="preserve">地鐵</t>
  </si>
  <si>
    <t xml:space="preserve">dei-tit</t>
  </si>
  <si>
    <t xml:space="preserve">bến xe</t>
  </si>
  <si>
    <t xml:space="preserve">bus station</t>
  </si>
  <si>
    <t xml:space="preserve">巴士站</t>
  </si>
  <si>
    <t xml:space="preserve">baa-si-zaam</t>
  </si>
  <si>
    <t xml:space="preserve">sân bay</t>
  </si>
  <si>
    <t xml:space="preserve">airport</t>
  </si>
  <si>
    <t xml:space="preserve">機場</t>
  </si>
  <si>
    <t xml:space="preserve">gei-coeng</t>
  </si>
  <si>
    <t xml:space="preserve">ga tàu</t>
  </si>
  <si>
    <t xml:space="preserve">train station</t>
  </si>
  <si>
    <t xml:space="preserve">火車站</t>
  </si>
  <si>
    <t xml:space="preserve">fo-ce-zaam</t>
  </si>
  <si>
    <t xml:space="preserve">road / street</t>
  </si>
  <si>
    <t xml:space="preserve">路</t>
  </si>
  <si>
    <t xml:space="preserve">ngã tư</t>
  </si>
  <si>
    <t xml:space="preserve">intersection</t>
  </si>
  <si>
    <t xml:space="preserve">十字路口</t>
  </si>
  <si>
    <t xml:space="preserve">sap-zi-lou-hau</t>
  </si>
  <si>
    <t xml:space="preserve">cầu</t>
  </si>
  <si>
    <t xml:space="preserve">bridge</t>
  </si>
  <si>
    <t xml:space="preserve">橋</t>
  </si>
  <si>
    <t xml:space="preserve">kiu</t>
  </si>
  <si>
    <t xml:space="preserve">bản đồ</t>
  </si>
  <si>
    <t xml:space="preserve">map</t>
  </si>
  <si>
    <t xml:space="preserve">地圖</t>
  </si>
  <si>
    <t xml:space="preserve">dei-tou</t>
  </si>
  <si>
    <t xml:space="preserve">địa chỉ</t>
  </si>
  <si>
    <t xml:space="preserve">address</t>
  </si>
  <si>
    <t xml:space="preserve">地址</t>
  </si>
  <si>
    <t xml:space="preserve">dei-zi</t>
  </si>
  <si>
    <t xml:space="preserve">rẽ trái</t>
  </si>
  <si>
    <t xml:space="preserve">turn left</t>
  </si>
  <si>
    <t xml:space="preserve">向左轉</t>
  </si>
  <si>
    <t xml:space="preserve">hoeng-zo-zyun</t>
  </si>
  <si>
    <t xml:space="preserve">rẽ phải</t>
  </si>
  <si>
    <t xml:space="preserve">turn right</t>
  </si>
  <si>
    <t xml:space="preserve">向右轉</t>
  </si>
  <si>
    <t xml:space="preserve">hoeng-jau-zyun</t>
  </si>
  <si>
    <t xml:space="preserve">đi thẳng</t>
  </si>
  <si>
    <t xml:space="preserve">go straight</t>
  </si>
  <si>
    <t xml:space="preserve">直走</t>
  </si>
  <si>
    <t xml:space="preserve">zik-zau</t>
  </si>
  <si>
    <t xml:space="preserve">kẹt xe</t>
  </si>
  <si>
    <t xml:space="preserve">traffic jam</t>
  </si>
  <si>
    <t xml:space="preserve">塞車</t>
  </si>
  <si>
    <t xml:space="preserve">saak-ce</t>
  </si>
  <si>
    <t xml:space="preserve">kẹt xe = Southern</t>
  </si>
  <si>
    <t xml:space="preserve">vé</t>
  </si>
  <si>
    <t xml:space="preserve">ticket</t>
  </si>
  <si>
    <t xml:space="preserve">票</t>
  </si>
  <si>
    <t xml:space="preserve">piu</t>
  </si>
  <si>
    <t xml:space="preserve">hành lý</t>
  </si>
  <si>
    <t xml:space="preserve">luggage / baggage</t>
  </si>
  <si>
    <t xml:space="preserve">行李</t>
  </si>
  <si>
    <t xml:space="preserve">haang-lei</t>
  </si>
  <si>
    <t xml:space="preserve">nhà</t>
  </si>
  <si>
    <t xml:space="preserve">house / home</t>
  </si>
  <si>
    <t xml:space="preserve">家</t>
  </si>
  <si>
    <t xml:space="preserve">phòng</t>
  </si>
  <si>
    <t xml:space="preserve">room</t>
  </si>
  <si>
    <t xml:space="preserve">房間</t>
  </si>
  <si>
    <t xml:space="preserve">fong-gaan</t>
  </si>
  <si>
    <t xml:space="preserve">bếp</t>
  </si>
  <si>
    <t xml:space="preserve">kitchen</t>
  </si>
  <si>
    <t xml:space="preserve">廚房</t>
  </si>
  <si>
    <t xml:space="preserve">cyu-fong</t>
  </si>
  <si>
    <t xml:space="preserve">phòng ngủ</t>
  </si>
  <si>
    <t xml:space="preserve">bedroom</t>
  </si>
  <si>
    <t xml:space="preserve">睡房</t>
  </si>
  <si>
    <t xml:space="preserve">seoi-fong</t>
  </si>
  <si>
    <t xml:space="preserve">phòng khách</t>
  </si>
  <si>
    <t xml:space="preserve">living room</t>
  </si>
  <si>
    <t xml:space="preserve">客廳</t>
  </si>
  <si>
    <t xml:space="preserve">haak-teng</t>
  </si>
  <si>
    <t xml:space="preserve">nhà vệ sinh</t>
  </si>
  <si>
    <t xml:space="preserve">bathroom / toilet</t>
  </si>
  <si>
    <t xml:space="preserve">廁所</t>
  </si>
  <si>
    <t xml:space="preserve">ci-so</t>
  </si>
  <si>
    <t xml:space="preserve">tầng</t>
  </si>
  <si>
    <t xml:space="preserve">floor (of building)</t>
  </si>
  <si>
    <t xml:space="preserve">層</t>
  </si>
  <si>
    <t xml:space="preserve">cang</t>
  </si>
  <si>
    <t xml:space="preserve">tòa nhà</t>
  </si>
  <si>
    <t xml:space="preserve">building</t>
  </si>
  <si>
    <t xml:space="preserve">大廈</t>
  </si>
  <si>
    <t xml:space="preserve">daai-haa</t>
  </si>
  <si>
    <t xml:space="preserve">khách sạn</t>
  </si>
  <si>
    <t xml:space="preserve">hotel</t>
  </si>
  <si>
    <t xml:space="preserve">酒店</t>
  </si>
  <si>
    <t xml:space="preserve">zau-dim</t>
  </si>
  <si>
    <t xml:space="preserve">nhà hàng</t>
  </si>
  <si>
    <t xml:space="preserve">restaurant</t>
  </si>
  <si>
    <t xml:space="preserve">餐廳</t>
  </si>
  <si>
    <t xml:space="preserve">caan-teng</t>
  </si>
  <si>
    <t xml:space="preserve">quán cà phê</t>
  </si>
  <si>
    <t xml:space="preserve">coffee shop / café</t>
  </si>
  <si>
    <t xml:space="preserve">咖啡店</t>
  </si>
  <si>
    <t xml:space="preserve">gaa-fe-dim</t>
  </si>
  <si>
    <t xml:space="preserve">siêu thị</t>
  </si>
  <si>
    <t xml:space="preserve">supermarket</t>
  </si>
  <si>
    <t xml:space="preserve">超級市場</t>
  </si>
  <si>
    <t xml:space="preserve">ciu-kap-si-coeng</t>
  </si>
  <si>
    <t xml:space="preserve">chợ</t>
  </si>
  <si>
    <t xml:space="preserve">market</t>
  </si>
  <si>
    <t xml:space="preserve">市場</t>
  </si>
  <si>
    <t xml:space="preserve">si-coeng</t>
  </si>
  <si>
    <t xml:space="preserve">cửa hàng</t>
  </si>
  <si>
    <t xml:space="preserve">shop / store</t>
  </si>
  <si>
    <t xml:space="preserve">店舖</t>
  </si>
  <si>
    <t xml:space="preserve">dim-pou</t>
  </si>
  <si>
    <t xml:space="preserve">ngân hàng</t>
  </si>
  <si>
    <t xml:space="preserve">bank</t>
  </si>
  <si>
    <t xml:space="preserve">銀行</t>
  </si>
  <si>
    <t xml:space="preserve">ngan-hong</t>
  </si>
  <si>
    <t xml:space="preserve">bệnh viện</t>
  </si>
  <si>
    <t xml:space="preserve">hospital</t>
  </si>
  <si>
    <t xml:space="preserve">醫院</t>
  </si>
  <si>
    <t xml:space="preserve">ji-jyun</t>
  </si>
  <si>
    <t xml:space="preserve">trường học</t>
  </si>
  <si>
    <t xml:space="preserve">school</t>
  </si>
  <si>
    <t xml:space="preserve">學校</t>
  </si>
  <si>
    <t xml:space="preserve">hok-haau</t>
  </si>
  <si>
    <t xml:space="preserve">đại học</t>
  </si>
  <si>
    <t xml:space="preserve">university</t>
  </si>
  <si>
    <t xml:space="preserve">大學</t>
  </si>
  <si>
    <t xml:space="preserve">daai-hok</t>
  </si>
  <si>
    <t xml:space="preserve">công ty</t>
  </si>
  <si>
    <t xml:space="preserve">company</t>
  </si>
  <si>
    <t xml:space="preserve">公司</t>
  </si>
  <si>
    <t xml:space="preserve">gung-si</t>
  </si>
  <si>
    <t xml:space="preserve">văn phòng</t>
  </si>
  <si>
    <t xml:space="preserve">office</t>
  </si>
  <si>
    <t xml:space="preserve">辦公室</t>
  </si>
  <si>
    <t xml:space="preserve">baan-gung-sat</t>
  </si>
  <si>
    <t xml:space="preserve">công viên</t>
  </si>
  <si>
    <t xml:space="preserve">park</t>
  </si>
  <si>
    <t xml:space="preserve">公園</t>
  </si>
  <si>
    <t xml:space="preserve">gung-jyun</t>
  </si>
  <si>
    <t xml:space="preserve">biển</t>
  </si>
  <si>
    <t xml:space="preserve">sea / beach</t>
  </si>
  <si>
    <t xml:space="preserve">海</t>
  </si>
  <si>
    <t xml:space="preserve">núi</t>
  </si>
  <si>
    <t xml:space="preserve">mountain</t>
  </si>
  <si>
    <t xml:space="preserve">山</t>
  </si>
  <si>
    <t xml:space="preserve">saan</t>
  </si>
  <si>
    <t xml:space="preserve">sông</t>
  </si>
  <si>
    <t xml:space="preserve">river</t>
  </si>
  <si>
    <t xml:space="preserve">河</t>
  </si>
  <si>
    <t xml:space="preserve">ho</t>
  </si>
  <si>
    <t xml:space="preserve">hồ</t>
  </si>
  <si>
    <t xml:space="preserve">lake</t>
  </si>
  <si>
    <t xml:space="preserve">湖</t>
  </si>
  <si>
    <t xml:space="preserve">wu</t>
  </si>
  <si>
    <t xml:space="preserve">rừng</t>
  </si>
  <si>
    <t xml:space="preserve">forest / jungle</t>
  </si>
  <si>
    <t xml:space="preserve">森林</t>
  </si>
  <si>
    <t xml:space="preserve">sam-lam</t>
  </si>
  <si>
    <t xml:space="preserve">thành phố</t>
  </si>
  <si>
    <t xml:space="preserve">city</t>
  </si>
  <si>
    <t xml:space="preserve">城市</t>
  </si>
  <si>
    <t xml:space="preserve">sing-si</t>
  </si>
  <si>
    <t xml:space="preserve">quận</t>
  </si>
  <si>
    <t xml:space="preserve">district</t>
  </si>
  <si>
    <r>
      <rPr>
        <sz val="9"/>
        <color rgb="FF000000"/>
        <rFont val="Noto Sans CJK SC"/>
        <family val="2"/>
      </rPr>
      <t xml:space="preserve">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郡</t>
    </r>
  </si>
  <si>
    <t xml:space="preserve">keoi/gwan</t>
  </si>
  <si>
    <t xml:space="preserve">tỉnh</t>
  </si>
  <si>
    <t xml:space="preserve">province</t>
  </si>
  <si>
    <t xml:space="preserve">省</t>
  </si>
  <si>
    <t xml:space="preserve">quốc gia / nước</t>
  </si>
  <si>
    <t xml:space="preserve">country / nation</t>
  </si>
  <si>
    <t xml:space="preserve">國家</t>
  </si>
  <si>
    <t xml:space="preserve">gwok-gaa</t>
  </si>
  <si>
    <t xml:space="preserve">thủ đô</t>
  </si>
  <si>
    <t xml:space="preserve">capital city</t>
  </si>
  <si>
    <t xml:space="preserve">首都</t>
  </si>
  <si>
    <t xml:space="preserve">sau-dou</t>
  </si>
  <si>
    <t xml:space="preserve">miền Nam</t>
  </si>
  <si>
    <t xml:space="preserve">the South</t>
  </si>
  <si>
    <t xml:space="preserve">南部</t>
  </si>
  <si>
    <t xml:space="preserve">naam-bou</t>
  </si>
  <si>
    <t xml:space="preserve">miền Bắc</t>
  </si>
  <si>
    <t xml:space="preserve">the North</t>
  </si>
  <si>
    <t xml:space="preserve">北部</t>
  </si>
  <si>
    <t xml:space="preserve">bak-bou</t>
  </si>
  <si>
    <t xml:space="preserve">Hà Nội</t>
  </si>
  <si>
    <t xml:space="preserve">Hanoi</t>
  </si>
  <si>
    <t xml:space="preserve">河內</t>
  </si>
  <si>
    <t xml:space="preserve">ho-noi</t>
  </si>
  <si>
    <t xml:space="preserve">Tp. Hồ Chí Minh</t>
  </si>
  <si>
    <t xml:space="preserve">Ho Chi Minh City</t>
  </si>
  <si>
    <t xml:space="preserve">胡志明市</t>
  </si>
  <si>
    <t xml:space="preserve">wu-zi-ming-si</t>
  </si>
  <si>
    <t xml:space="preserve">aka Sài Gòn</t>
  </si>
  <si>
    <t xml:space="preserve">Đà Nẵng</t>
  </si>
  <si>
    <t xml:space="preserve">Da Nang</t>
  </si>
  <si>
    <t xml:space="preserve">峴港</t>
  </si>
  <si>
    <t xml:space="preserve">jin-gong</t>
  </si>
  <si>
    <t xml:space="preserve">cơ thể</t>
  </si>
  <si>
    <t xml:space="preserve">body</t>
  </si>
  <si>
    <t xml:space="preserve">身體</t>
  </si>
  <si>
    <t xml:space="preserve">san-tai</t>
  </si>
  <si>
    <t xml:space="preserve">đầu</t>
  </si>
  <si>
    <t xml:space="preserve">head</t>
  </si>
  <si>
    <t xml:space="preserve">頭</t>
  </si>
  <si>
    <t xml:space="preserve">tau</t>
  </si>
  <si>
    <t xml:space="preserve">mặt</t>
  </si>
  <si>
    <t xml:space="preserve">face</t>
  </si>
  <si>
    <r>
      <rPr>
        <sz val="9"/>
        <color rgb="FF000000"/>
        <rFont val="Noto Sans CJK SC"/>
        <family val="2"/>
      </rPr>
      <t xml:space="preserve">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面</t>
    </r>
  </si>
  <si>
    <t xml:space="preserve">lim/min</t>
  </si>
  <si>
    <t xml:space="preserve">mắt</t>
  </si>
  <si>
    <t xml:space="preserve">eye</t>
  </si>
  <si>
    <t xml:space="preserve">眼</t>
  </si>
  <si>
    <t xml:space="preserve">ngaan</t>
  </si>
  <si>
    <t xml:space="preserve">mũi</t>
  </si>
  <si>
    <t xml:space="preserve">nose</t>
  </si>
  <si>
    <t xml:space="preserve">鼻</t>
  </si>
  <si>
    <t xml:space="preserve">bei</t>
  </si>
  <si>
    <t xml:space="preserve">miệng</t>
  </si>
  <si>
    <t xml:space="preserve">mouth</t>
  </si>
  <si>
    <t xml:space="preserve">口</t>
  </si>
  <si>
    <t xml:space="preserve">tai</t>
  </si>
  <si>
    <t xml:space="preserve">ear</t>
  </si>
  <si>
    <t xml:space="preserve">耳</t>
  </si>
  <si>
    <t xml:space="preserve">răng</t>
  </si>
  <si>
    <t xml:space="preserve">teeth</t>
  </si>
  <si>
    <t xml:space="preserve">牙</t>
  </si>
  <si>
    <t xml:space="preserve">ngaa</t>
  </si>
  <si>
    <t xml:space="preserve">cổ</t>
  </si>
  <si>
    <t xml:space="preserve">neck</t>
  </si>
  <si>
    <t xml:space="preserve">頸</t>
  </si>
  <si>
    <t xml:space="preserve">geng</t>
  </si>
  <si>
    <t xml:space="preserve">vai</t>
  </si>
  <si>
    <t xml:space="preserve">shoulder</t>
  </si>
  <si>
    <t xml:space="preserve">膊頭</t>
  </si>
  <si>
    <t xml:space="preserve">bok-tau</t>
  </si>
  <si>
    <t xml:space="preserve">tay</t>
  </si>
  <si>
    <t xml:space="preserve">hand / arm</t>
  </si>
  <si>
    <t xml:space="preserve">手</t>
  </si>
  <si>
    <t xml:space="preserve">ngón tay</t>
  </si>
  <si>
    <t xml:space="preserve">finger</t>
  </si>
  <si>
    <t xml:space="preserve">手指</t>
  </si>
  <si>
    <t xml:space="preserve">sau-zi</t>
  </si>
  <si>
    <t xml:space="preserve">chân</t>
  </si>
  <si>
    <t xml:space="preserve">foot / leg</t>
  </si>
  <si>
    <t xml:space="preserve">腳</t>
  </si>
  <si>
    <t xml:space="preserve">goek</t>
  </si>
  <si>
    <t xml:space="preserve">lưng</t>
  </si>
  <si>
    <t xml:space="preserve">back</t>
  </si>
  <si>
    <t xml:space="preserve">背</t>
  </si>
  <si>
    <t xml:space="preserve">bui</t>
  </si>
  <si>
    <t xml:space="preserve">bụng</t>
  </si>
  <si>
    <t xml:space="preserve">stomach / belly</t>
  </si>
  <si>
    <t xml:space="preserve">肚</t>
  </si>
  <si>
    <t xml:space="preserve">tou</t>
  </si>
  <si>
    <t xml:space="preserve">heart</t>
  </si>
  <si>
    <t xml:space="preserve">心</t>
  </si>
  <si>
    <t xml:space="preserve">sam</t>
  </si>
  <si>
    <t xml:space="preserve">Sino-Viet: tâm</t>
  </si>
  <si>
    <t xml:space="preserve">não</t>
  </si>
  <si>
    <t xml:space="preserve">brain</t>
  </si>
  <si>
    <t xml:space="preserve">腦</t>
  </si>
  <si>
    <t xml:space="preserve">nou</t>
  </si>
  <si>
    <t xml:space="preserve">da</t>
  </si>
  <si>
    <t xml:space="preserve">skin</t>
  </si>
  <si>
    <t xml:space="preserve">皮膚</t>
  </si>
  <si>
    <t xml:space="preserve">pei-fu</t>
  </si>
  <si>
    <t xml:space="preserve">tóc</t>
  </si>
  <si>
    <t xml:space="preserve">hair (head)</t>
  </si>
  <si>
    <t xml:space="preserve">頭髮</t>
  </si>
  <si>
    <t xml:space="preserve">tau-faat</t>
  </si>
  <si>
    <t xml:space="preserve">máu</t>
  </si>
  <si>
    <t xml:space="preserve">blood</t>
  </si>
  <si>
    <t xml:space="preserve">血</t>
  </si>
  <si>
    <t xml:space="preserve">hyut</t>
  </si>
  <si>
    <t xml:space="preserve">thuốc</t>
  </si>
  <si>
    <t xml:space="preserve">medicine</t>
  </si>
  <si>
    <t xml:space="preserve">藥</t>
  </si>
  <si>
    <t xml:space="preserve">Sino-Viet: dược</t>
  </si>
  <si>
    <t xml:space="preserve">bác sĩ</t>
  </si>
  <si>
    <t xml:space="preserve">doctor</t>
  </si>
  <si>
    <t xml:space="preserve">醫生</t>
  </si>
  <si>
    <t xml:space="preserve">ji-saang</t>
  </si>
  <si>
    <t xml:space="preserve">y tá</t>
  </si>
  <si>
    <t xml:space="preserve">nurse</t>
  </si>
  <si>
    <t xml:space="preserve">護士</t>
  </si>
  <si>
    <t xml:space="preserve">wu-si</t>
  </si>
  <si>
    <t xml:space="preserve">đau</t>
  </si>
  <si>
    <t xml:space="preserve">pain / hurt</t>
  </si>
  <si>
    <t xml:space="preserve">痛</t>
  </si>
  <si>
    <t xml:space="preserve">tung</t>
  </si>
  <si>
    <t xml:space="preserve">đau đầu</t>
  </si>
  <si>
    <t xml:space="preserve">headache</t>
  </si>
  <si>
    <t xml:space="preserve">頭痛</t>
  </si>
  <si>
    <t xml:space="preserve">tau-tung</t>
  </si>
  <si>
    <t xml:space="preserve">sốt</t>
  </si>
  <si>
    <t xml:space="preserve">fever</t>
  </si>
  <si>
    <t xml:space="preserve">發燒</t>
  </si>
  <si>
    <t xml:space="preserve">faat-siu</t>
  </si>
  <si>
    <t xml:space="preserve">cough</t>
  </si>
  <si>
    <t xml:space="preserve">咳嗽</t>
  </si>
  <si>
    <t xml:space="preserve">kat-sau</t>
  </si>
  <si>
    <t xml:space="preserve">cảm lạnh</t>
  </si>
  <si>
    <t xml:space="preserve">cold (illness)</t>
  </si>
  <si>
    <t xml:space="preserve">感冒</t>
  </si>
  <si>
    <t xml:space="preserve">gam-mou</t>
  </si>
  <si>
    <t xml:space="preserve">Sino-Viet: cảm mạo</t>
  </si>
  <si>
    <t xml:space="preserve">dị ứng</t>
  </si>
  <si>
    <t xml:space="preserve">allergy</t>
  </si>
  <si>
    <t xml:space="preserve">過敏</t>
  </si>
  <si>
    <t xml:space="preserve">gwo-man</t>
  </si>
  <si>
    <t xml:space="preserve">tiền</t>
  </si>
  <si>
    <t xml:space="preserve">money</t>
  </si>
  <si>
    <t xml:space="preserve">錢</t>
  </si>
  <si>
    <t xml:space="preserve">đồng</t>
  </si>
  <si>
    <t xml:space="preserve">Vietnamese dong (currency)</t>
  </si>
  <si>
    <t xml:space="preserve">越南盾</t>
  </si>
  <si>
    <t xml:space="preserve">jyut-naam-teon</t>
  </si>
  <si>
    <t xml:space="preserve">giá</t>
  </si>
  <si>
    <t xml:space="preserve">price</t>
  </si>
  <si>
    <t xml:space="preserve">價格</t>
  </si>
  <si>
    <t xml:space="preserve">gaa-gaak</t>
  </si>
  <si>
    <t xml:space="preserve">bao nhiêu tiền?</t>
  </si>
  <si>
    <t xml:space="preserve">how much does it cost?</t>
  </si>
  <si>
    <r>
      <rPr>
        <sz val="9"/>
        <color rgb="FF000000"/>
        <rFont val="Noto Sans CJK SC"/>
        <family val="2"/>
      </rPr>
      <t xml:space="preserve">幾多錢</t>
    </r>
    <r>
      <rPr>
        <sz val="9"/>
        <color rgb="FF000000"/>
        <rFont val="Arial"/>
        <family val="0"/>
        <charset val="1"/>
      </rPr>
      <t xml:space="preserve">?</t>
    </r>
  </si>
  <si>
    <t xml:space="preserve">gei-do-cin</t>
  </si>
  <si>
    <t xml:space="preserve">trả tiền</t>
  </si>
  <si>
    <t xml:space="preserve">to pay</t>
  </si>
  <si>
    <t xml:space="preserve">付錢</t>
  </si>
  <si>
    <t xml:space="preserve">fu-cin</t>
  </si>
  <si>
    <t xml:space="preserve">thẻ tín dụng</t>
  </si>
  <si>
    <t xml:space="preserve">credit card</t>
  </si>
  <si>
    <t xml:space="preserve">信用卡</t>
  </si>
  <si>
    <t xml:space="preserve">seon-jung-kaat</t>
  </si>
  <si>
    <t xml:space="preserve">tiền mặt</t>
  </si>
  <si>
    <t xml:space="preserve">cash</t>
  </si>
  <si>
    <t xml:space="preserve">現金</t>
  </si>
  <si>
    <t xml:space="preserve">jin-gam</t>
  </si>
  <si>
    <t xml:space="preserve">hóa đơn</t>
  </si>
  <si>
    <t xml:space="preserve">receipt / invoice</t>
  </si>
  <si>
    <r>
      <rPr>
        <sz val="9"/>
        <color rgb="FF000000"/>
        <rFont val="Noto Sans CJK SC"/>
        <family val="2"/>
      </rPr>
      <t xml:space="preserve">收據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發票</t>
    </r>
  </si>
  <si>
    <t xml:space="preserve">sau-geoi/faat-piu</t>
  </si>
  <si>
    <t xml:space="preserve">giảm giá</t>
  </si>
  <si>
    <t xml:space="preserve">discount</t>
  </si>
  <si>
    <t xml:space="preserve">折扣</t>
  </si>
  <si>
    <t xml:space="preserve">zit-kau</t>
  </si>
  <si>
    <t xml:space="preserve">chất lượng</t>
  </si>
  <si>
    <t xml:space="preserve">quality</t>
  </si>
  <si>
    <t xml:space="preserve">質量</t>
  </si>
  <si>
    <t xml:space="preserve">zat-loeng</t>
  </si>
  <si>
    <t xml:space="preserve">màu sắc</t>
  </si>
  <si>
    <t xml:space="preserve">color</t>
  </si>
  <si>
    <t xml:space="preserve">顏色</t>
  </si>
  <si>
    <t xml:space="preserve">ngaan-sik</t>
  </si>
  <si>
    <t xml:space="preserve">đỏ</t>
  </si>
  <si>
    <t xml:space="preserve">red</t>
  </si>
  <si>
    <t xml:space="preserve">紅</t>
  </si>
  <si>
    <t xml:space="preserve">hung</t>
  </si>
  <si>
    <t xml:space="preserve">xanh lá</t>
  </si>
  <si>
    <t xml:space="preserve">green</t>
  </si>
  <si>
    <t xml:space="preserve">綠</t>
  </si>
  <si>
    <t xml:space="preserve">xanh dương</t>
  </si>
  <si>
    <t xml:space="preserve">blue</t>
  </si>
  <si>
    <t xml:space="preserve">藍</t>
  </si>
  <si>
    <t xml:space="preserve">laam</t>
  </si>
  <si>
    <t xml:space="preserve">vàng</t>
  </si>
  <si>
    <t xml:space="preserve">yellow / gold</t>
  </si>
  <si>
    <t xml:space="preserve">黃</t>
  </si>
  <si>
    <t xml:space="preserve">wong</t>
  </si>
  <si>
    <t xml:space="preserve">đen</t>
  </si>
  <si>
    <t xml:space="preserve">black</t>
  </si>
  <si>
    <t xml:space="preserve">黑</t>
  </si>
  <si>
    <t xml:space="preserve">hak</t>
  </si>
  <si>
    <t xml:space="preserve">trắng</t>
  </si>
  <si>
    <t xml:space="preserve">white</t>
  </si>
  <si>
    <t xml:space="preserve">白</t>
  </si>
  <si>
    <t xml:space="preserve">cam</t>
  </si>
  <si>
    <t xml:space="preserve">orange (color)</t>
  </si>
  <si>
    <t xml:space="preserve">橙色</t>
  </si>
  <si>
    <t xml:space="preserve">caang-sik</t>
  </si>
  <si>
    <t xml:space="preserve">tím</t>
  </si>
  <si>
    <t xml:space="preserve">purple</t>
  </si>
  <si>
    <t xml:space="preserve">紫</t>
  </si>
  <si>
    <t xml:space="preserve">hồng</t>
  </si>
  <si>
    <t xml:space="preserve">pink</t>
  </si>
  <si>
    <t xml:space="preserve">粉紅</t>
  </si>
  <si>
    <t xml:space="preserve">fan-hung</t>
  </si>
  <si>
    <t xml:space="preserve">công việc</t>
  </si>
  <si>
    <t xml:space="preserve">work / job</t>
  </si>
  <si>
    <t xml:space="preserve">nghề nghiệp</t>
  </si>
  <si>
    <t xml:space="preserve">occupation / profession</t>
  </si>
  <si>
    <t xml:space="preserve">職業</t>
  </si>
  <si>
    <t xml:space="preserve">zik-jip</t>
  </si>
  <si>
    <t xml:space="preserve">nhân viên</t>
  </si>
  <si>
    <t xml:space="preserve">employee / staff</t>
  </si>
  <si>
    <t xml:space="preserve">員工</t>
  </si>
  <si>
    <t xml:space="preserve">jyun-gung</t>
  </si>
  <si>
    <t xml:space="preserve">sếp / giám đốc</t>
  </si>
  <si>
    <t xml:space="preserve">boss / director</t>
  </si>
  <si>
    <r>
      <rPr>
        <sz val="9"/>
        <color rgb="FF000000"/>
        <rFont val="Noto Sans CJK SC"/>
        <family val="2"/>
      </rPr>
      <t xml:space="preserve">老闆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主管</t>
    </r>
  </si>
  <si>
    <t xml:space="preserve">lou-baan/zyu-gun</t>
  </si>
  <si>
    <t xml:space="preserve">đồng nghiệp</t>
  </si>
  <si>
    <t xml:space="preserve">colleague</t>
  </si>
  <si>
    <t xml:space="preserve">同事</t>
  </si>
  <si>
    <t xml:space="preserve">tung-si</t>
  </si>
  <si>
    <t xml:space="preserve">lương</t>
  </si>
  <si>
    <t xml:space="preserve">salary / wage</t>
  </si>
  <si>
    <r>
      <rPr>
        <sz val="9"/>
        <color rgb="FF000000"/>
        <rFont val="Noto Sans CJK SC"/>
        <family val="2"/>
      </rPr>
      <t xml:space="preserve">工資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薪水</t>
    </r>
  </si>
  <si>
    <t xml:space="preserve">gung-zi/san-seoi</t>
  </si>
  <si>
    <t xml:space="preserve">hợp đồng</t>
  </si>
  <si>
    <t xml:space="preserve">contract</t>
  </si>
  <si>
    <t xml:space="preserve">合同</t>
  </si>
  <si>
    <t xml:space="preserve">hap-tung</t>
  </si>
  <si>
    <t xml:space="preserve">cuộc họp</t>
  </si>
  <si>
    <t xml:space="preserve">meeting</t>
  </si>
  <si>
    <t xml:space="preserve">會議</t>
  </si>
  <si>
    <t xml:space="preserve">wui-ji</t>
  </si>
  <si>
    <t xml:space="preserve">báo cáo</t>
  </si>
  <si>
    <t xml:space="preserve">report</t>
  </si>
  <si>
    <t xml:space="preserve">報告</t>
  </si>
  <si>
    <t xml:space="preserve">bou-gou</t>
  </si>
  <si>
    <t xml:space="preserve">dự án</t>
  </si>
  <si>
    <t xml:space="preserve">project</t>
  </si>
  <si>
    <t xml:space="preserve">項目</t>
  </si>
  <si>
    <t xml:space="preserve">hong-muk</t>
  </si>
  <si>
    <t xml:space="preserve">thời hạn</t>
  </si>
  <si>
    <t xml:space="preserve">deadline</t>
  </si>
  <si>
    <t xml:space="preserve">截止日期</t>
  </si>
  <si>
    <t xml:space="preserve">zit-zi-jat-kei</t>
  </si>
  <si>
    <t xml:space="preserve">kinh nghiệm</t>
  </si>
  <si>
    <t xml:space="preserve">experience</t>
  </si>
  <si>
    <t xml:space="preserve">經驗</t>
  </si>
  <si>
    <t xml:space="preserve">ging-jim</t>
  </si>
  <si>
    <t xml:space="preserve">kỹ năng</t>
  </si>
  <si>
    <t xml:space="preserve">skill</t>
  </si>
  <si>
    <t xml:space="preserve">技能</t>
  </si>
  <si>
    <t xml:space="preserve">gei-nang</t>
  </si>
  <si>
    <t xml:space="preserve">thăng chức</t>
  </si>
  <si>
    <t xml:space="preserve">promotion</t>
  </si>
  <si>
    <t xml:space="preserve">晉升</t>
  </si>
  <si>
    <t xml:space="preserve">zeon-sing</t>
  </si>
  <si>
    <t xml:space="preserve">nghỉ việc</t>
  </si>
  <si>
    <t xml:space="preserve">to resign</t>
  </si>
  <si>
    <t xml:space="preserve">辭職</t>
  </si>
  <si>
    <t xml:space="preserve">ci-zik</t>
  </si>
  <si>
    <t xml:space="preserve">trường</t>
  </si>
  <si>
    <t xml:space="preserve">lớp học</t>
  </si>
  <si>
    <t xml:space="preserve">classroom / class</t>
  </si>
  <si>
    <t xml:space="preserve">課堂</t>
  </si>
  <si>
    <t xml:space="preserve">fo-tong</t>
  </si>
  <si>
    <t xml:space="preserve">giáo viên</t>
  </si>
  <si>
    <t xml:space="preserve">teacher</t>
  </si>
  <si>
    <t xml:space="preserve">老師</t>
  </si>
  <si>
    <t xml:space="preserve">lou-si</t>
  </si>
  <si>
    <t xml:space="preserve">học sinh</t>
  </si>
  <si>
    <t xml:space="preserve">student (K-12)</t>
  </si>
  <si>
    <t xml:space="preserve">學生</t>
  </si>
  <si>
    <t xml:space="preserve">hok-saang</t>
  </si>
  <si>
    <t xml:space="preserve">sinh viên</t>
  </si>
  <si>
    <t xml:space="preserve">university student</t>
  </si>
  <si>
    <t xml:space="preserve">大學生</t>
  </si>
  <si>
    <t xml:space="preserve">daai-hok-saang</t>
  </si>
  <si>
    <t xml:space="preserve">bài tập</t>
  </si>
  <si>
    <t xml:space="preserve">homework / exercise</t>
  </si>
  <si>
    <r>
      <rPr>
        <sz val="9"/>
        <color rgb="FF000000"/>
        <rFont val="Noto Sans CJK SC"/>
        <family val="2"/>
      </rPr>
      <t xml:space="preserve">功課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練習</t>
    </r>
  </si>
  <si>
    <t xml:space="preserve">gung-fo/lin-zaap</t>
  </si>
  <si>
    <t xml:space="preserve">bài kiểm tra</t>
  </si>
  <si>
    <t xml:space="preserve">test / exam</t>
  </si>
  <si>
    <t xml:space="preserve">考試</t>
  </si>
  <si>
    <t xml:space="preserve">haau-si</t>
  </si>
  <si>
    <t xml:space="preserve">điểm</t>
  </si>
  <si>
    <t xml:space="preserve">score / point / grade</t>
  </si>
  <si>
    <t xml:space="preserve">分數</t>
  </si>
  <si>
    <t xml:space="preserve">fan-sou</t>
  </si>
  <si>
    <t xml:space="preserve">tốt nghiệp</t>
  </si>
  <si>
    <t xml:space="preserve">to graduate</t>
  </si>
  <si>
    <t xml:space="preserve">畢業</t>
  </si>
  <si>
    <t xml:space="preserve">bat-jip</t>
  </si>
  <si>
    <t xml:space="preserve">bằng cấp</t>
  </si>
  <si>
    <t xml:space="preserve">degree / qualification</t>
  </si>
  <si>
    <t xml:space="preserve">學位</t>
  </si>
  <si>
    <t xml:space="preserve">hok-wai</t>
  </si>
  <si>
    <t xml:space="preserve">điện thoại</t>
  </si>
  <si>
    <t xml:space="preserve">phone</t>
  </si>
  <si>
    <t xml:space="preserve">電話</t>
  </si>
  <si>
    <t xml:space="preserve">din-waa</t>
  </si>
  <si>
    <t xml:space="preserve">máy tính</t>
  </si>
  <si>
    <t xml:space="preserve">computer</t>
  </si>
  <si>
    <t xml:space="preserve">電腦</t>
  </si>
  <si>
    <t xml:space="preserve">din-nou</t>
  </si>
  <si>
    <t xml:space="preserve">internet</t>
  </si>
  <si>
    <t xml:space="preserve">互聯網</t>
  </si>
  <si>
    <t xml:space="preserve">wu-lyun-mong</t>
  </si>
  <si>
    <t xml:space="preserve">mạng xã hội</t>
  </si>
  <si>
    <t xml:space="preserve">social media</t>
  </si>
  <si>
    <t xml:space="preserve">社交媒體</t>
  </si>
  <si>
    <t xml:space="preserve">se-gaau-mui-tai</t>
  </si>
  <si>
    <t xml:space="preserve">ứng dụng</t>
  </si>
  <si>
    <t xml:space="preserve">app / application</t>
  </si>
  <si>
    <t xml:space="preserve">應用程式</t>
  </si>
  <si>
    <t xml:space="preserve">jing-jung-cing-sik</t>
  </si>
  <si>
    <t xml:space="preserve">trang web</t>
  </si>
  <si>
    <t xml:space="preserve">website</t>
  </si>
  <si>
    <t xml:space="preserve">網站</t>
  </si>
  <si>
    <t xml:space="preserve">mong-zaam</t>
  </si>
  <si>
    <t xml:space="preserve">email</t>
  </si>
  <si>
    <t xml:space="preserve">電子郵件</t>
  </si>
  <si>
    <t xml:space="preserve">din-zi-jau-gin</t>
  </si>
  <si>
    <t xml:space="preserve">tin nhắn</t>
  </si>
  <si>
    <t xml:space="preserve">message / text</t>
  </si>
  <si>
    <t xml:space="preserve">短訊</t>
  </si>
  <si>
    <t xml:space="preserve">dyun-seon</t>
  </si>
  <si>
    <t xml:space="preserve">gọi video</t>
  </si>
  <si>
    <t xml:space="preserve">video call</t>
  </si>
  <si>
    <t xml:space="preserve">視頻通話</t>
  </si>
  <si>
    <t xml:space="preserve">si-pin-tung-waa</t>
  </si>
  <si>
    <t xml:space="preserve">mật khẩu</t>
  </si>
  <si>
    <t xml:space="preserve">password</t>
  </si>
  <si>
    <t xml:space="preserve">密碼</t>
  </si>
  <si>
    <t xml:space="preserve">mat-maa</t>
  </si>
  <si>
    <t xml:space="preserve">tài khoản</t>
  </si>
  <si>
    <t xml:space="preserve">account</t>
  </si>
  <si>
    <t xml:space="preserve">帳戶</t>
  </si>
  <si>
    <t xml:space="preserve">zoeng-wu</t>
  </si>
  <si>
    <t xml:space="preserve">máy ảnh</t>
  </si>
  <si>
    <t xml:space="preserve">camera</t>
  </si>
  <si>
    <t xml:space="preserve">相機</t>
  </si>
  <si>
    <t xml:space="preserve">soeng-gei</t>
  </si>
  <si>
    <t xml:space="preserve">sạc</t>
  </si>
  <si>
    <t xml:space="preserve">to charge (battery)</t>
  </si>
  <si>
    <t xml:space="preserve">充電</t>
  </si>
  <si>
    <t xml:space="preserve">cung-din</t>
  </si>
  <si>
    <t xml:space="preserve">pin</t>
  </si>
  <si>
    <t xml:space="preserve">battery</t>
  </si>
  <si>
    <t xml:space="preserve">電池</t>
  </si>
  <si>
    <t xml:space="preserve">din-ci</t>
  </si>
  <si>
    <t xml:space="preserve">wifi</t>
  </si>
  <si>
    <t xml:space="preserve">WiFi</t>
  </si>
  <si>
    <t xml:space="preserve">無線網絡</t>
  </si>
  <si>
    <t xml:space="preserve">mou-sin-mong-lok</t>
  </si>
  <si>
    <t xml:space="preserve">tải xuống</t>
  </si>
  <si>
    <t xml:space="preserve">to download</t>
  </si>
  <si>
    <t xml:space="preserve">下載</t>
  </si>
  <si>
    <t xml:space="preserve">haa-zoi</t>
  </si>
  <si>
    <t xml:space="preserve">cập nhật</t>
  </si>
  <si>
    <t xml:space="preserve">to update</t>
  </si>
  <si>
    <t xml:space="preserve">更新</t>
  </si>
  <si>
    <t xml:space="preserve">gang-san</t>
  </si>
  <si>
    <t xml:space="preserve">trời</t>
  </si>
  <si>
    <t xml:space="preserve">sky / heaven / weather</t>
  </si>
  <si>
    <r>
      <rPr>
        <sz val="9"/>
        <color rgb="FF000000"/>
        <rFont val="Noto Sans CJK SC"/>
        <family val="2"/>
      </rPr>
      <t xml:space="preserve">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天氣</t>
    </r>
  </si>
  <si>
    <t xml:space="preserve">tin/tin-hei</t>
  </si>
  <si>
    <t xml:space="preserve">mặt trời</t>
  </si>
  <si>
    <t xml:space="preserve">sun</t>
  </si>
  <si>
    <t xml:space="preserve">太陽</t>
  </si>
  <si>
    <t xml:space="preserve">taai-joeng</t>
  </si>
  <si>
    <t xml:space="preserve">mặt trăng</t>
  </si>
  <si>
    <t xml:space="preserve">moon</t>
  </si>
  <si>
    <t xml:space="preserve">月亮</t>
  </si>
  <si>
    <t xml:space="preserve">jyut-loeng</t>
  </si>
  <si>
    <t xml:space="preserve">sao</t>
  </si>
  <si>
    <t xml:space="preserve">star</t>
  </si>
  <si>
    <t xml:space="preserve">星</t>
  </si>
  <si>
    <t xml:space="preserve">sing</t>
  </si>
  <si>
    <t xml:space="preserve">mây</t>
  </si>
  <si>
    <t xml:space="preserve">cloud</t>
  </si>
  <si>
    <t xml:space="preserve">雲</t>
  </si>
  <si>
    <t xml:space="preserve">wan</t>
  </si>
  <si>
    <t xml:space="preserve">mưa</t>
  </si>
  <si>
    <t xml:space="preserve">rain</t>
  </si>
  <si>
    <t xml:space="preserve">雨</t>
  </si>
  <si>
    <t xml:space="preserve">gió</t>
  </si>
  <si>
    <t xml:space="preserve">wind</t>
  </si>
  <si>
    <t xml:space="preserve">風</t>
  </si>
  <si>
    <t xml:space="preserve">fung</t>
  </si>
  <si>
    <t xml:space="preserve">bão</t>
  </si>
  <si>
    <t xml:space="preserve">storm / typhoon</t>
  </si>
  <si>
    <r>
      <rPr>
        <sz val="9"/>
        <color rgb="FF000000"/>
        <rFont val="Noto Sans CJK SC"/>
        <family val="2"/>
      </rPr>
      <t xml:space="preserve">風暴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颱風</t>
    </r>
  </si>
  <si>
    <t xml:space="preserve">fung-bou/toi-fung</t>
  </si>
  <si>
    <t xml:space="preserve">tuyết</t>
  </si>
  <si>
    <t xml:space="preserve">snow</t>
  </si>
  <si>
    <t xml:space="preserve">雪</t>
  </si>
  <si>
    <t xml:space="preserve">lũ lụt</t>
  </si>
  <si>
    <t xml:space="preserve">flood</t>
  </si>
  <si>
    <t xml:space="preserve">洪水</t>
  </si>
  <si>
    <t xml:space="preserve">hung-seoi</t>
  </si>
  <si>
    <t xml:space="preserve">động đất</t>
  </si>
  <si>
    <t xml:space="preserve">earthquake</t>
  </si>
  <si>
    <t xml:space="preserve">地震</t>
  </si>
  <si>
    <t xml:space="preserve">dei-zan</t>
  </si>
  <si>
    <t xml:space="preserve">cây</t>
  </si>
  <si>
    <t xml:space="preserve">tree / plant</t>
  </si>
  <si>
    <r>
      <rPr>
        <sz val="9"/>
        <color rgb="FF000000"/>
        <rFont val="Noto Sans CJK SC"/>
        <family val="2"/>
      </rPr>
      <t xml:space="preserve">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植物</t>
    </r>
  </si>
  <si>
    <t xml:space="preserve">syu/zik-mat</t>
  </si>
  <si>
    <t xml:space="preserve">hoa</t>
  </si>
  <si>
    <t xml:space="preserve">flower</t>
  </si>
  <si>
    <t xml:space="preserve">花</t>
  </si>
  <si>
    <t xml:space="preserve">faa</t>
  </si>
  <si>
    <t xml:space="preserve">cỏ</t>
  </si>
  <si>
    <t xml:space="preserve">grass</t>
  </si>
  <si>
    <t xml:space="preserve">草</t>
  </si>
  <si>
    <t xml:space="preserve">cou</t>
  </si>
  <si>
    <t xml:space="preserve">đất</t>
  </si>
  <si>
    <t xml:space="preserve">soil / land / earth</t>
  </si>
  <si>
    <t xml:space="preserve">土地</t>
  </si>
  <si>
    <t xml:space="preserve">tou-dei</t>
  </si>
  <si>
    <t xml:space="preserve">đá</t>
  </si>
  <si>
    <t xml:space="preserve">rock / stone</t>
  </si>
  <si>
    <t xml:space="preserve">石</t>
  </si>
  <si>
    <t xml:space="preserve">sek</t>
  </si>
  <si>
    <t xml:space="preserve">lửa</t>
  </si>
  <si>
    <t xml:space="preserve">fire</t>
  </si>
  <si>
    <t xml:space="preserve">火</t>
  </si>
  <si>
    <t xml:space="preserve">fo</t>
  </si>
  <si>
    <t xml:space="preserve">không khí</t>
  </si>
  <si>
    <t xml:space="preserve">air</t>
  </si>
  <si>
    <t xml:space="preserve">空氣</t>
  </si>
  <si>
    <t xml:space="preserve">hung-hei</t>
  </si>
  <si>
    <t xml:space="preserve">môi trường</t>
  </si>
  <si>
    <t xml:space="preserve">environment</t>
  </si>
  <si>
    <t xml:space="preserve">環境</t>
  </si>
  <si>
    <t xml:space="preserve">waan-ging</t>
  </si>
  <si>
    <t xml:space="preserve">con chó</t>
  </si>
  <si>
    <t xml:space="preserve">dog</t>
  </si>
  <si>
    <t xml:space="preserve">狗</t>
  </si>
  <si>
    <t xml:space="preserve">con mèo</t>
  </si>
  <si>
    <t xml:space="preserve">貓</t>
  </si>
  <si>
    <t xml:space="preserve">maau</t>
  </si>
  <si>
    <t xml:space="preserve">con bò</t>
  </si>
  <si>
    <t xml:space="preserve">cow</t>
  </si>
  <si>
    <t xml:space="preserve">牛</t>
  </si>
  <si>
    <t xml:space="preserve">ngau</t>
  </si>
  <si>
    <t xml:space="preserve">con gà</t>
  </si>
  <si>
    <t xml:space="preserve">chicken</t>
  </si>
  <si>
    <t xml:space="preserve">雞</t>
  </si>
  <si>
    <t xml:space="preserve">gai</t>
  </si>
  <si>
    <t xml:space="preserve">con heo</t>
  </si>
  <si>
    <t xml:space="preserve">pig</t>
  </si>
  <si>
    <t xml:space="preserve">豬</t>
  </si>
  <si>
    <t xml:space="preserve">con heo = Southern</t>
  </si>
  <si>
    <t xml:space="preserve">con chim</t>
  </si>
  <si>
    <t xml:space="preserve">bird</t>
  </si>
  <si>
    <t xml:space="preserve">鳥</t>
  </si>
  <si>
    <t xml:space="preserve">niu</t>
  </si>
  <si>
    <t xml:space="preserve">cảm xúc</t>
  </si>
  <si>
    <t xml:space="preserve">emotion / feeling</t>
  </si>
  <si>
    <t xml:space="preserve">感情</t>
  </si>
  <si>
    <t xml:space="preserve">gam-cing</t>
  </si>
  <si>
    <t xml:space="preserve">hài lòng</t>
  </si>
  <si>
    <t xml:space="preserve">satisfied</t>
  </si>
  <si>
    <t xml:space="preserve">滿意</t>
  </si>
  <si>
    <t xml:space="preserve">mun-ji</t>
  </si>
  <si>
    <t xml:space="preserve">thất vọng</t>
  </si>
  <si>
    <t xml:space="preserve">disappointed</t>
  </si>
  <si>
    <t xml:space="preserve">失望</t>
  </si>
  <si>
    <t xml:space="preserve">sat-mong</t>
  </si>
  <si>
    <t xml:space="preserve">ngạc nhiên</t>
  </si>
  <si>
    <t xml:space="preserve">surprised</t>
  </si>
  <si>
    <t xml:space="preserve">驚訝</t>
  </si>
  <si>
    <t xml:space="preserve">ging-ngaa</t>
  </si>
  <si>
    <t xml:space="preserve">sợ hãi</t>
  </si>
  <si>
    <t xml:space="preserve">scared / frightened</t>
  </si>
  <si>
    <t xml:space="preserve">害怕</t>
  </si>
  <si>
    <t xml:space="preserve">hoi-paa</t>
  </si>
  <si>
    <t xml:space="preserve">xấu hổ</t>
  </si>
  <si>
    <t xml:space="preserve">embarrassed / ashamed</t>
  </si>
  <si>
    <t xml:space="preserve">羞恥</t>
  </si>
  <si>
    <t xml:space="preserve">sau-ci</t>
  </si>
  <si>
    <t xml:space="preserve">tự hào</t>
  </si>
  <si>
    <t xml:space="preserve">proud</t>
  </si>
  <si>
    <t xml:space="preserve">自豪</t>
  </si>
  <si>
    <t xml:space="preserve">zi-hou</t>
  </si>
  <si>
    <t xml:space="preserve">ghen tị</t>
  </si>
  <si>
    <t xml:space="preserve">jealous</t>
  </si>
  <si>
    <t xml:space="preserve">嫉妒</t>
  </si>
  <si>
    <t xml:space="preserve">zat-dou</t>
  </si>
  <si>
    <t xml:space="preserve">to miss someone/thing</t>
  </si>
  <si>
    <t xml:space="preserve">想念</t>
  </si>
  <si>
    <t xml:space="preserve">soeng-nim</t>
  </si>
  <si>
    <t xml:space="preserve">cô đơn</t>
  </si>
  <si>
    <t xml:space="preserve">lonely</t>
  </si>
  <si>
    <r>
      <rPr>
        <sz val="9"/>
        <color rgb="FF000000"/>
        <rFont val="Noto Sans CJK SC"/>
        <family val="2"/>
      </rPr>
      <t xml:space="preserve">孤獨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寂寞</t>
    </r>
  </si>
  <si>
    <t xml:space="preserve">gu-duk/zik-mok</t>
  </si>
  <si>
    <t xml:space="preserve">bình tĩnh</t>
  </si>
  <si>
    <t xml:space="preserve">calm</t>
  </si>
  <si>
    <t xml:space="preserve">冷靜</t>
  </si>
  <si>
    <t xml:space="preserve">laang-zing</t>
  </si>
  <si>
    <t xml:space="preserve">hy vọng</t>
  </si>
  <si>
    <t xml:space="preserve">hope</t>
  </si>
  <si>
    <t xml:space="preserve">希望</t>
  </si>
  <si>
    <t xml:space="preserve">hei-mong</t>
  </si>
  <si>
    <t xml:space="preserve">nỗi buồn</t>
  </si>
  <si>
    <t xml:space="preserve">sadness / sorrow</t>
  </si>
  <si>
    <t xml:space="preserve">悲傷</t>
  </si>
  <si>
    <t xml:space="preserve">bei-soeng</t>
  </si>
  <si>
    <t xml:space="preserve">văn hóa</t>
  </si>
  <si>
    <t xml:space="preserve">culture</t>
  </si>
  <si>
    <t xml:space="preserve">文化</t>
  </si>
  <si>
    <t xml:space="preserve">man-faa</t>
  </si>
  <si>
    <t xml:space="preserve">lễ hội</t>
  </si>
  <si>
    <t xml:space="preserve">festival</t>
  </si>
  <si>
    <t xml:space="preserve">節日</t>
  </si>
  <si>
    <t xml:space="preserve">zit-jat</t>
  </si>
  <si>
    <t xml:space="preserve">Tết</t>
  </si>
  <si>
    <t xml:space="preserve">Lunar New Year</t>
  </si>
  <si>
    <t xml:space="preserve">農曆新年</t>
  </si>
  <si>
    <t xml:space="preserve">nung-lik-san-nin</t>
  </si>
  <si>
    <t xml:space="preserve">most important Viet holiday</t>
  </si>
  <si>
    <t xml:space="preserve">truyền thống</t>
  </si>
  <si>
    <t xml:space="preserve">tradition</t>
  </si>
  <si>
    <t xml:space="preserve">傳統</t>
  </si>
  <si>
    <t xml:space="preserve">cyun-tung</t>
  </si>
  <si>
    <t xml:space="preserve">tôn giáo</t>
  </si>
  <si>
    <t xml:space="preserve">religion</t>
  </si>
  <si>
    <t xml:space="preserve">宗教</t>
  </si>
  <si>
    <t xml:space="preserve">zung-gaau</t>
  </si>
  <si>
    <t xml:space="preserve">Phật giáo</t>
  </si>
  <si>
    <t xml:space="preserve">Buddhism</t>
  </si>
  <si>
    <t xml:space="preserve">佛教</t>
  </si>
  <si>
    <t xml:space="preserve">fat-gaau</t>
  </si>
  <si>
    <t xml:space="preserve">chùa</t>
  </si>
  <si>
    <t xml:space="preserve">Buddhist temple / pagoda</t>
  </si>
  <si>
    <t xml:space="preserve">寺廟</t>
  </si>
  <si>
    <t xml:space="preserve">zi-miu</t>
  </si>
  <si>
    <t xml:space="preserve">lịch sử</t>
  </si>
  <si>
    <t xml:space="preserve">history</t>
  </si>
  <si>
    <t xml:space="preserve">歷史</t>
  </si>
  <si>
    <t xml:space="preserve">lik-si</t>
  </si>
  <si>
    <t xml:space="preserve">chính phủ</t>
  </si>
  <si>
    <t xml:space="preserve">government</t>
  </si>
  <si>
    <t xml:space="preserve">政府</t>
  </si>
  <si>
    <t xml:space="preserve">zing-fu</t>
  </si>
  <si>
    <t xml:space="preserve">pháp luật</t>
  </si>
  <si>
    <t xml:space="preserve">law</t>
  </si>
  <si>
    <t xml:space="preserve">法律</t>
  </si>
  <si>
    <t xml:space="preserve">faat-leot</t>
  </si>
  <si>
    <t xml:space="preserve">xã hội</t>
  </si>
  <si>
    <t xml:space="preserve">society</t>
  </si>
  <si>
    <t xml:space="preserve">社會</t>
  </si>
  <si>
    <t xml:space="preserve">se-wui</t>
  </si>
  <si>
    <t xml:space="preserve">cộng đồng</t>
  </si>
  <si>
    <t xml:space="preserve">community</t>
  </si>
  <si>
    <t xml:space="preserve">社區</t>
  </si>
  <si>
    <t xml:space="preserve">se-keoi</t>
  </si>
  <si>
    <t xml:space="preserve">thể thao</t>
  </si>
  <si>
    <t xml:space="preserve">sports</t>
  </si>
  <si>
    <t xml:space="preserve">體育</t>
  </si>
  <si>
    <t xml:space="preserve">tai-juk</t>
  </si>
  <si>
    <t xml:space="preserve">âm nhạc</t>
  </si>
  <si>
    <t xml:space="preserve">music</t>
  </si>
  <si>
    <t xml:space="preserve">音樂</t>
  </si>
  <si>
    <t xml:space="preserve">jam-ngok</t>
  </si>
  <si>
    <t xml:space="preserve">bài hát</t>
  </si>
  <si>
    <t xml:space="preserve">song</t>
  </si>
  <si>
    <t xml:space="preserve">歌曲</t>
  </si>
  <si>
    <t xml:space="preserve">go-kuk</t>
  </si>
  <si>
    <t xml:space="preserve">điện ảnh</t>
  </si>
  <si>
    <t xml:space="preserve">cinema / film</t>
  </si>
  <si>
    <t xml:space="preserve">電影</t>
  </si>
  <si>
    <t xml:space="preserve">din-jing</t>
  </si>
  <si>
    <t xml:space="preserve">nghệ thuật</t>
  </si>
  <si>
    <t xml:space="preserve">art</t>
  </si>
  <si>
    <t xml:space="preserve">藝術</t>
  </si>
  <si>
    <t xml:space="preserve">ngai-sut</t>
  </si>
  <si>
    <t xml:space="preserve">sách</t>
  </si>
  <si>
    <t xml:space="preserve">book</t>
  </si>
  <si>
    <t xml:space="preserve">書</t>
  </si>
  <si>
    <t xml:space="preserve">syu</t>
  </si>
  <si>
    <t xml:space="preserve">báo</t>
  </si>
  <si>
    <t xml:space="preserve">newspaper</t>
  </si>
  <si>
    <t xml:space="preserve">報紙</t>
  </si>
  <si>
    <t xml:space="preserve">bou-zi</t>
  </si>
  <si>
    <t xml:space="preserve">tin tức</t>
  </si>
  <si>
    <t xml:space="preserve">news</t>
  </si>
  <si>
    <t xml:space="preserve">新聞</t>
  </si>
  <si>
    <t xml:space="preserve">san-man</t>
  </si>
  <si>
    <t xml:space="preserve">rất</t>
  </si>
  <si>
    <t xml:space="preserve">very</t>
  </si>
  <si>
    <r>
      <rPr>
        <sz val="9"/>
        <color rgb="FF000000"/>
        <rFont val="Noto Sans CJK SC"/>
        <family val="2"/>
      </rPr>
      <t xml:space="preserve">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非常</t>
    </r>
  </si>
  <si>
    <t xml:space="preserve">hou/fei-soeng</t>
  </si>
  <si>
    <t xml:space="preserve">quá</t>
  </si>
  <si>
    <t xml:space="preserve">too (much) / extremely</t>
  </si>
  <si>
    <t xml:space="preserve">太</t>
  </si>
  <si>
    <t xml:space="preserve">taai</t>
  </si>
  <si>
    <t xml:space="preserve">thật sự</t>
  </si>
  <si>
    <t xml:space="preserve">really / truly</t>
  </si>
  <si>
    <t xml:space="preserve">真的</t>
  </si>
  <si>
    <t xml:space="preserve">zan-ge</t>
  </si>
  <si>
    <t xml:space="preserve">khá</t>
  </si>
  <si>
    <t xml:space="preserve">quite / rather</t>
  </si>
  <si>
    <r>
      <rPr>
        <sz val="9"/>
        <color rgb="FF000000"/>
        <rFont val="Noto Sans CJK SC"/>
        <family val="2"/>
      </rPr>
      <t xml:space="preserve">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相當</t>
    </r>
  </si>
  <si>
    <t xml:space="preserve">po/soeng-dong</t>
  </si>
  <si>
    <t xml:space="preserve">hơi</t>
  </si>
  <si>
    <t xml:space="preserve">a bit / slightly</t>
  </si>
  <si>
    <t xml:space="preserve">有點</t>
  </si>
  <si>
    <t xml:space="preserve">jau-dim</t>
  </si>
  <si>
    <t xml:space="preserve">chỉ</t>
  </si>
  <si>
    <t xml:space="preserve">only / just</t>
  </si>
  <si>
    <t xml:space="preserve">只</t>
  </si>
  <si>
    <t xml:space="preserve">luôn luôn</t>
  </si>
  <si>
    <t xml:space="preserve">always</t>
  </si>
  <si>
    <r>
      <rPr>
        <sz val="9"/>
        <color rgb="FF000000"/>
        <rFont val="Noto Sans CJK SC"/>
        <family val="2"/>
      </rPr>
      <t xml:space="preserve">總是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一直</t>
    </r>
  </si>
  <si>
    <t xml:space="preserve">zung-hai/jat-zik</t>
  </si>
  <si>
    <t xml:space="preserve">thường</t>
  </si>
  <si>
    <t xml:space="preserve">usually / often</t>
  </si>
  <si>
    <t xml:space="preserve">通常</t>
  </si>
  <si>
    <t xml:space="preserve">tung-soeng</t>
  </si>
  <si>
    <t xml:space="preserve">đôi khi</t>
  </si>
  <si>
    <t xml:space="preserve">sometimes</t>
  </si>
  <si>
    <t xml:space="preserve">有時候</t>
  </si>
  <si>
    <t xml:space="preserve">jau-si-hau</t>
  </si>
  <si>
    <t xml:space="preserve">ít khi</t>
  </si>
  <si>
    <t xml:space="preserve">rarely</t>
  </si>
  <si>
    <t xml:space="preserve">很少</t>
  </si>
  <si>
    <t xml:space="preserve">hou-siu</t>
  </si>
  <si>
    <t xml:space="preserve">không bao giờ</t>
  </si>
  <si>
    <t xml:space="preserve">never</t>
  </si>
  <si>
    <t xml:space="preserve">從不</t>
  </si>
  <si>
    <t xml:space="preserve">cung-m</t>
  </si>
  <si>
    <t xml:space="preserve">ngay bây giờ</t>
  </si>
  <si>
    <t xml:space="preserve">right now</t>
  </si>
  <si>
    <r>
      <rPr>
        <sz val="9"/>
        <color rgb="FF000000"/>
        <rFont val="Noto Sans CJK SC"/>
        <family val="2"/>
      </rPr>
      <t xml:space="preserve">馬上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立刻</t>
    </r>
  </si>
  <si>
    <t xml:space="preserve">maa-soeng/lap-hak</t>
  </si>
  <si>
    <t xml:space="preserve">từ từ</t>
  </si>
  <si>
    <t xml:space="preserve">slowly / gradually</t>
  </si>
  <si>
    <t xml:space="preserve">慢慢</t>
  </si>
  <si>
    <t xml:space="preserve">maan-maan</t>
  </si>
  <si>
    <t xml:space="preserve">nhanh chóng</t>
  </si>
  <si>
    <t xml:space="preserve">quickly</t>
  </si>
  <si>
    <t xml:space="preserve">快速</t>
  </si>
  <si>
    <t xml:space="preserve">faai-cuk</t>
  </si>
  <si>
    <t xml:space="preserve">cùng nhau</t>
  </si>
  <si>
    <t xml:space="preserve">together</t>
  </si>
  <si>
    <t xml:space="preserve">一起</t>
  </si>
  <si>
    <t xml:space="preserve">jat-hei</t>
  </si>
  <si>
    <t xml:space="preserve">một mình</t>
  </si>
  <si>
    <t xml:space="preserve">alone / by oneself</t>
  </si>
  <si>
    <t xml:space="preserve">一個人</t>
  </si>
  <si>
    <t xml:space="preserve">jat-go-jan</t>
  </si>
  <si>
    <t xml:space="preserve">bỗng nhiên</t>
  </si>
  <si>
    <t xml:space="preserve">suddenly</t>
  </si>
  <si>
    <t xml:space="preserve">突然</t>
  </si>
  <si>
    <t xml:space="preserve">dat-jin</t>
  </si>
  <si>
    <t xml:space="preserve">Sino-Viet: đột nhiên</t>
  </si>
  <si>
    <t xml:space="preserve">thậm chí</t>
  </si>
  <si>
    <t xml:space="preserve">even</t>
  </si>
  <si>
    <t xml:space="preserve">甚至</t>
  </si>
  <si>
    <t xml:space="preserve">sam-zi</t>
  </si>
  <si>
    <t xml:space="preserve">ít nhất</t>
  </si>
  <si>
    <t xml:space="preserve">at least</t>
  </si>
  <si>
    <t xml:space="preserve">至少</t>
  </si>
  <si>
    <t xml:space="preserve">zi-siu</t>
  </si>
  <si>
    <t xml:space="preserve">khoảng</t>
  </si>
  <si>
    <t xml:space="preserve">approximately / about</t>
  </si>
  <si>
    <t xml:space="preserve">大約</t>
  </si>
  <si>
    <t xml:space="preserve">daai-joek</t>
  </si>
  <si>
    <t xml:space="preserve">có lẽ</t>
  </si>
  <si>
    <t xml:space="preserve">maybe / perhaps</t>
  </si>
  <si>
    <t xml:space="preserve">也許</t>
  </si>
  <si>
    <t xml:space="preserve">je-heoi</t>
  </si>
  <si>
    <t xml:space="preserve">chắc chắn</t>
  </si>
  <si>
    <t xml:space="preserve">certainly / surely</t>
  </si>
  <si>
    <t xml:space="preserve">肯定</t>
  </si>
  <si>
    <t xml:space="preserve">hang-ding</t>
  </si>
  <si>
    <t xml:space="preserve">tất nhiên</t>
  </si>
  <si>
    <t xml:space="preserve">of course</t>
  </si>
  <si>
    <t xml:space="preserve">當然</t>
  </si>
  <si>
    <t xml:space="preserve">dong-jin</t>
  </si>
  <si>
    <t xml:space="preserve">thực ra</t>
  </si>
  <si>
    <t xml:space="preserve">actually / in fact</t>
  </si>
  <si>
    <t xml:space="preserve">其實</t>
  </si>
  <si>
    <t xml:space="preserve">kei-sat</t>
  </si>
  <si>
    <t xml:space="preserve">quần áo</t>
  </si>
  <si>
    <t xml:space="preserve">clothes</t>
  </si>
  <si>
    <t xml:space="preserve">衣服</t>
  </si>
  <si>
    <t xml:space="preserve">ji-fuk</t>
  </si>
  <si>
    <t xml:space="preserve">Sino-Viet: y phục</t>
  </si>
  <si>
    <t xml:space="preserve">áo</t>
  </si>
  <si>
    <t xml:space="preserve">shirt / top</t>
  </si>
  <si>
    <r>
      <rPr>
        <sz val="9"/>
        <color rgb="FF000000"/>
        <rFont val="Noto Sans CJK SC"/>
        <family val="2"/>
      </rPr>
      <t xml:space="preserve">衫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上衣</t>
    </r>
  </si>
  <si>
    <t xml:space="preserve">saam/soeng-ji</t>
  </si>
  <si>
    <t xml:space="preserve">quần</t>
  </si>
  <si>
    <t xml:space="preserve">pants / trousers</t>
  </si>
  <si>
    <t xml:space="preserve">褲</t>
  </si>
  <si>
    <t xml:space="preserve">váy</t>
  </si>
  <si>
    <t xml:space="preserve">skirt / dress</t>
  </si>
  <si>
    <t xml:space="preserve">裙</t>
  </si>
  <si>
    <t xml:space="preserve">kwan</t>
  </si>
  <si>
    <t xml:space="preserve">giày</t>
  </si>
  <si>
    <t xml:space="preserve">shoes</t>
  </si>
  <si>
    <t xml:space="preserve">鞋</t>
  </si>
  <si>
    <t xml:space="preserve">haai</t>
  </si>
  <si>
    <t xml:space="preserve">dép</t>
  </si>
  <si>
    <t xml:space="preserve">sandals / slippers</t>
  </si>
  <si>
    <t xml:space="preserve">拖鞋</t>
  </si>
  <si>
    <t xml:space="preserve">to-haai</t>
  </si>
  <si>
    <t xml:space="preserve">mũ / nón</t>
  </si>
  <si>
    <t xml:space="preserve">hat / cap</t>
  </si>
  <si>
    <t xml:space="preserve">帽</t>
  </si>
  <si>
    <t xml:space="preserve">nón = conical hat</t>
  </si>
  <si>
    <t xml:space="preserve">kính</t>
  </si>
  <si>
    <t xml:space="preserve">glasses</t>
  </si>
  <si>
    <t xml:space="preserve">眼鏡</t>
  </si>
  <si>
    <t xml:space="preserve">ngaan-geng</t>
  </si>
  <si>
    <t xml:space="preserve">túi</t>
  </si>
  <si>
    <t xml:space="preserve">bag / pocket</t>
  </si>
  <si>
    <t xml:space="preserve">袋</t>
  </si>
  <si>
    <t xml:space="preserve">doi</t>
  </si>
  <si>
    <t xml:space="preserve">ví</t>
  </si>
  <si>
    <t xml:space="preserve">wallet</t>
  </si>
  <si>
    <t xml:space="preserve">銀包</t>
  </si>
  <si>
    <t xml:space="preserve">ngan-baau</t>
  </si>
  <si>
    <t xml:space="preserve">nhẫn</t>
  </si>
  <si>
    <t xml:space="preserve">ring</t>
  </si>
  <si>
    <t xml:space="preserve">戒指</t>
  </si>
  <si>
    <t xml:space="preserve">gaai-zi</t>
  </si>
  <si>
    <t xml:space="preserve">dây chuyền</t>
  </si>
  <si>
    <t xml:space="preserve">necklace</t>
  </si>
  <si>
    <t xml:space="preserve">頸鍊</t>
  </si>
  <si>
    <t xml:space="preserve">geng-lin</t>
  </si>
  <si>
    <t xml:space="preserve">mặc</t>
  </si>
  <si>
    <t xml:space="preserve">to wear (clothes)</t>
  </si>
  <si>
    <r>
      <rPr>
        <sz val="9"/>
        <color rgb="FF000000"/>
        <rFont val="Noto Sans CJK SC"/>
        <family val="2"/>
      </rPr>
      <t xml:space="preserve">穿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衣服</t>
    </r>
    <r>
      <rPr>
        <sz val="9"/>
        <color rgb="FF000000"/>
        <rFont val="Arial"/>
        <family val="0"/>
        <charset val="1"/>
      </rPr>
      <t xml:space="preserve">)</t>
    </r>
  </si>
  <si>
    <t xml:space="preserve">cyun-(ji-fuk)</t>
  </si>
  <si>
    <t xml:space="preserve">thời trang</t>
  </si>
  <si>
    <t xml:space="preserve">fashion</t>
  </si>
  <si>
    <r>
      <rPr>
        <sz val="9"/>
        <color rgb="FF000000"/>
        <rFont val="Noto Sans CJK SC"/>
        <family val="2"/>
      </rPr>
      <t xml:space="preserve">時尚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時裝</t>
    </r>
  </si>
  <si>
    <t xml:space="preserve">si-soeng/si-zong</t>
  </si>
  <si>
    <t xml:space="preserve">tiếng Việt</t>
  </si>
  <si>
    <t xml:space="preserve">Vietnamese language</t>
  </si>
  <si>
    <t xml:space="preserve">越南語</t>
  </si>
  <si>
    <t xml:space="preserve">jyut-naam-jyu</t>
  </si>
  <si>
    <t xml:space="preserve">tiếng Anh</t>
  </si>
  <si>
    <t xml:space="preserve">English language</t>
  </si>
  <si>
    <t xml:space="preserve">英語</t>
  </si>
  <si>
    <t xml:space="preserve">jing-jyu</t>
  </si>
  <si>
    <t xml:space="preserve">tiếng Trung</t>
  </si>
  <si>
    <t xml:space="preserve">Chinese language</t>
  </si>
  <si>
    <t xml:space="preserve">中文</t>
  </si>
  <si>
    <t xml:space="preserve">zung-man</t>
  </si>
  <si>
    <t xml:space="preserve">ngôn ngữ</t>
  </si>
  <si>
    <t xml:space="preserve">language</t>
  </si>
  <si>
    <t xml:space="preserve">語言</t>
  </si>
  <si>
    <t xml:space="preserve">jyu-jin</t>
  </si>
  <si>
    <t xml:space="preserve">phát âm</t>
  </si>
  <si>
    <t xml:space="preserve">pronunciation</t>
  </si>
  <si>
    <t xml:space="preserve">發音</t>
  </si>
  <si>
    <t xml:space="preserve">faat-jam</t>
  </si>
  <si>
    <t xml:space="preserve">ngữ pháp</t>
  </si>
  <si>
    <t xml:space="preserve">grammar</t>
  </si>
  <si>
    <t xml:space="preserve">語法</t>
  </si>
  <si>
    <t xml:space="preserve">jyu-faat</t>
  </si>
  <si>
    <t xml:space="preserve">từ vựng</t>
  </si>
  <si>
    <t xml:space="preserve">vocabulary</t>
  </si>
  <si>
    <t xml:space="preserve">詞彙</t>
  </si>
  <si>
    <t xml:space="preserve">ci-wui</t>
  </si>
  <si>
    <t xml:space="preserve">câu</t>
  </si>
  <si>
    <t xml:space="preserve">sentence</t>
  </si>
  <si>
    <t xml:space="preserve">句子</t>
  </si>
  <si>
    <t xml:space="preserve">geoi-zi</t>
  </si>
  <si>
    <t xml:space="preserve">ý nghĩa</t>
  </si>
  <si>
    <t xml:space="preserve">meaning</t>
  </si>
  <si>
    <t xml:space="preserve">意思</t>
  </si>
  <si>
    <t xml:space="preserve">ji-si</t>
  </si>
  <si>
    <t xml:space="preserve">dịch</t>
  </si>
  <si>
    <t xml:space="preserve">to translate</t>
  </si>
  <si>
    <t xml:space="preserve">翻譯</t>
  </si>
  <si>
    <t xml:space="preserve">faan-jik</t>
  </si>
  <si>
    <t xml:space="preserve">từ điển</t>
  </si>
  <si>
    <t xml:space="preserve">dictionary</t>
  </si>
  <si>
    <t xml:space="preserve">字典</t>
  </si>
  <si>
    <t xml:space="preserve">zi-din</t>
  </si>
  <si>
    <t xml:space="preserve">bút</t>
  </si>
  <si>
    <t xml:space="preserve">pen</t>
  </si>
  <si>
    <t xml:space="preserve">筆</t>
  </si>
  <si>
    <t xml:space="preserve">bat</t>
  </si>
  <si>
    <t xml:space="preserve">giấy</t>
  </si>
  <si>
    <t xml:space="preserve">paper</t>
  </si>
  <si>
    <t xml:space="preserve">紙</t>
  </si>
  <si>
    <t xml:space="preserve">bàn</t>
  </si>
  <si>
    <t xml:space="preserve">table / desk</t>
  </si>
  <si>
    <t xml:space="preserve">桌</t>
  </si>
  <si>
    <t xml:space="preserve">zoek</t>
  </si>
  <si>
    <t xml:space="preserve">ghế</t>
  </si>
  <si>
    <t xml:space="preserve">chair</t>
  </si>
  <si>
    <t xml:space="preserve">椅</t>
  </si>
  <si>
    <t xml:space="preserve">giường</t>
  </si>
  <si>
    <t xml:space="preserve">bed</t>
  </si>
  <si>
    <t xml:space="preserve">床</t>
  </si>
  <si>
    <t xml:space="preserve">cong</t>
  </si>
  <si>
    <t xml:space="preserve">tủ</t>
  </si>
  <si>
    <t xml:space="preserve">cabinet / wardrobe</t>
  </si>
  <si>
    <t xml:space="preserve">櫃</t>
  </si>
  <si>
    <t xml:space="preserve">gương</t>
  </si>
  <si>
    <t xml:space="preserve">mirror</t>
  </si>
  <si>
    <t xml:space="preserve">鏡</t>
  </si>
  <si>
    <t xml:space="preserve">đèn</t>
  </si>
  <si>
    <t xml:space="preserve">lamp / light</t>
  </si>
  <si>
    <t xml:space="preserve">燈</t>
  </si>
  <si>
    <t xml:space="preserve">dang</t>
  </si>
  <si>
    <t xml:space="preserve">điện</t>
  </si>
  <si>
    <t xml:space="preserve">electricity</t>
  </si>
  <si>
    <t xml:space="preserve">電</t>
  </si>
  <si>
    <t xml:space="preserve">din</t>
  </si>
  <si>
    <t xml:space="preserve">máy lạnh</t>
  </si>
  <si>
    <t xml:space="preserve">air conditioner</t>
  </si>
  <si>
    <t xml:space="preserve">冷氣</t>
  </si>
  <si>
    <t xml:space="preserve">laang-hei</t>
  </si>
  <si>
    <t xml:space="preserve">quạt</t>
  </si>
  <si>
    <t xml:space="preserve">fan</t>
  </si>
  <si>
    <t xml:space="preserve">風扇</t>
  </si>
  <si>
    <t xml:space="preserve">fung-sin</t>
  </si>
  <si>
    <t xml:space="preserve">tivi / TV</t>
  </si>
  <si>
    <t xml:space="preserve">television</t>
  </si>
  <si>
    <t xml:space="preserve">電視</t>
  </si>
  <si>
    <t xml:space="preserve">din-si</t>
  </si>
  <si>
    <t xml:space="preserve">tủ lạnh</t>
  </si>
  <si>
    <t xml:space="preserve">refrigerator</t>
  </si>
  <si>
    <t xml:space="preserve">雪櫃</t>
  </si>
  <si>
    <t xml:space="preserve">syut-gwai</t>
  </si>
  <si>
    <t xml:space="preserve">lò vi sóng</t>
  </si>
  <si>
    <t xml:space="preserve">microwave</t>
  </si>
  <si>
    <t xml:space="preserve">微波爐</t>
  </si>
  <si>
    <t xml:space="preserve">mei-bo-lou</t>
  </si>
  <si>
    <t xml:space="preserve">máy giặt</t>
  </si>
  <si>
    <t xml:space="preserve">washing machine</t>
  </si>
  <si>
    <t xml:space="preserve">洗衣機</t>
  </si>
  <si>
    <t xml:space="preserve">sai-ji-gei</t>
  </si>
  <si>
    <t xml:space="preserve">khăn</t>
  </si>
  <si>
    <t xml:space="preserve">towel / cloth</t>
  </si>
  <si>
    <t xml:space="preserve">毛巾</t>
  </si>
  <si>
    <t xml:space="preserve">mou-gan</t>
  </si>
  <si>
    <t xml:space="preserve">xà phòng</t>
  </si>
  <si>
    <t xml:space="preserve">soap</t>
  </si>
  <si>
    <t xml:space="preserve">肥皂</t>
  </si>
  <si>
    <t xml:space="preserve">fei-zou</t>
  </si>
  <si>
    <t xml:space="preserve">vấn đề</t>
  </si>
  <si>
    <t xml:space="preserve">problem / issue</t>
  </si>
  <si>
    <t xml:space="preserve">問題</t>
  </si>
  <si>
    <t xml:space="preserve">man-tai</t>
  </si>
  <si>
    <t xml:space="preserve">giải pháp</t>
  </si>
  <si>
    <t xml:space="preserve">solution</t>
  </si>
  <si>
    <t xml:space="preserve">解決方法</t>
  </si>
  <si>
    <t xml:space="preserve">gaai-kyut-fong-faat</t>
  </si>
  <si>
    <t xml:space="preserve">ý tưởng</t>
  </si>
  <si>
    <t xml:space="preserve">idea</t>
  </si>
  <si>
    <r>
      <rPr>
        <sz val="9"/>
        <color rgb="FF000000"/>
        <rFont val="Noto Sans CJK SC"/>
        <family val="2"/>
      </rPr>
      <t xml:space="preserve">主意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想法</t>
    </r>
  </si>
  <si>
    <t xml:space="preserve">zyu-ji/soeng-faat</t>
  </si>
  <si>
    <t xml:space="preserve">kế hoạch</t>
  </si>
  <si>
    <t xml:space="preserve">plan</t>
  </si>
  <si>
    <t xml:space="preserve">計劃</t>
  </si>
  <si>
    <t xml:space="preserve">gai-waak</t>
  </si>
  <si>
    <t xml:space="preserve">mục tiêu</t>
  </si>
  <si>
    <t xml:space="preserve">goal / objective</t>
  </si>
  <si>
    <t xml:space="preserve">目標</t>
  </si>
  <si>
    <t xml:space="preserve">muk-biu</t>
  </si>
  <si>
    <t xml:space="preserve">kết quả</t>
  </si>
  <si>
    <t xml:space="preserve">result</t>
  </si>
  <si>
    <t xml:space="preserve">結果</t>
  </si>
  <si>
    <t xml:space="preserve">git-gwo</t>
  </si>
  <si>
    <t xml:space="preserve">quá trình</t>
  </si>
  <si>
    <t xml:space="preserve">process</t>
  </si>
  <si>
    <t xml:space="preserve">過程</t>
  </si>
  <si>
    <t xml:space="preserve">gwo-cing</t>
  </si>
  <si>
    <t xml:space="preserve">phương pháp</t>
  </si>
  <si>
    <t xml:space="preserve">method</t>
  </si>
  <si>
    <t xml:space="preserve">方法</t>
  </si>
  <si>
    <t xml:space="preserve">fong-faat</t>
  </si>
  <si>
    <t xml:space="preserve">thông tin</t>
  </si>
  <si>
    <t xml:space="preserve">information</t>
  </si>
  <si>
    <r>
      <rPr>
        <sz val="9"/>
        <color rgb="FF000000"/>
        <rFont val="Noto Sans CJK SC"/>
        <family val="2"/>
      </rPr>
      <t xml:space="preserve">信息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資訊</t>
    </r>
  </si>
  <si>
    <t xml:space="preserve">seon-sik/zi-seon</t>
  </si>
  <si>
    <t xml:space="preserve">ví dụ</t>
  </si>
  <si>
    <t xml:space="preserve">example</t>
  </si>
  <si>
    <t xml:space="preserve">例子</t>
  </si>
  <si>
    <t xml:space="preserve">lai-zi</t>
  </si>
  <si>
    <t xml:space="preserve">lý do</t>
  </si>
  <si>
    <t xml:space="preserve">reason</t>
  </si>
  <si>
    <t xml:space="preserve">理由</t>
  </si>
  <si>
    <t xml:space="preserve">lei-jau</t>
  </si>
  <si>
    <t xml:space="preserve">nguyên nhân</t>
  </si>
  <si>
    <t xml:space="preserve">cause</t>
  </si>
  <si>
    <t xml:space="preserve">原因</t>
  </si>
  <si>
    <t xml:space="preserve">jyun-jan</t>
  </si>
  <si>
    <t xml:space="preserve">ảnh hưởng</t>
  </si>
  <si>
    <t xml:space="preserve">influence / effect</t>
  </si>
  <si>
    <t xml:space="preserve">影響</t>
  </si>
  <si>
    <t xml:space="preserve">jing-hoeng</t>
  </si>
  <si>
    <t xml:space="preserve">cơ hội</t>
  </si>
  <si>
    <t xml:space="preserve">opportunity</t>
  </si>
  <si>
    <t xml:space="preserve">機會</t>
  </si>
  <si>
    <t xml:space="preserve">gei-wui</t>
  </si>
  <si>
    <t xml:space="preserve">thách thức</t>
  </si>
  <si>
    <t xml:space="preserve">challenge</t>
  </si>
  <si>
    <t xml:space="preserve">挑戰</t>
  </si>
  <si>
    <t xml:space="preserve">tiu-zin</t>
  </si>
  <si>
    <t xml:space="preserve">sự thật</t>
  </si>
  <si>
    <t xml:space="preserve">truth / fact</t>
  </si>
  <si>
    <t xml:space="preserve">真相</t>
  </si>
  <si>
    <t xml:space="preserve">zan-soeng</t>
  </si>
  <si>
    <t xml:space="preserve">ý kiến</t>
  </si>
  <si>
    <t xml:space="preserve">opinion</t>
  </si>
  <si>
    <t xml:space="preserve">意見</t>
  </si>
  <si>
    <t xml:space="preserve">ji-gin</t>
  </si>
  <si>
    <t xml:space="preserve">kiến thức</t>
  </si>
  <si>
    <t xml:space="preserve">knowledge</t>
  </si>
  <si>
    <t xml:space="preserve">知識</t>
  </si>
  <si>
    <t xml:space="preserve">zi-sik</t>
  </si>
  <si>
    <t xml:space="preserve">phát triển</t>
  </si>
  <si>
    <t xml:space="preserve">development</t>
  </si>
  <si>
    <t xml:space="preserve">發展</t>
  </si>
  <si>
    <t xml:space="preserve">faat-zin</t>
  </si>
  <si>
    <t xml:space="preserve">thành công</t>
  </si>
  <si>
    <t xml:space="preserve">success</t>
  </si>
  <si>
    <t xml:space="preserve">成功</t>
  </si>
  <si>
    <t xml:space="preserve">sing-gung</t>
  </si>
  <si>
    <t xml:space="preserve">thất bại</t>
  </si>
  <si>
    <t xml:space="preserve">failure</t>
  </si>
  <si>
    <t xml:space="preserve">失敗</t>
  </si>
  <si>
    <t xml:space="preserve">sat-baai</t>
  </si>
  <si>
    <t xml:space="preserve">tự do</t>
  </si>
  <si>
    <t xml:space="preserve">freedom</t>
  </si>
  <si>
    <t xml:space="preserve">自由</t>
  </si>
  <si>
    <t xml:space="preserve">zi-jau</t>
  </si>
  <si>
    <t xml:space="preserve">bình đẳng</t>
  </si>
  <si>
    <t xml:space="preserve">equality</t>
  </si>
  <si>
    <t xml:space="preserve">平等</t>
  </si>
  <si>
    <t xml:space="preserve">ping-dang</t>
  </si>
  <si>
    <t xml:space="preserve">trách nhiệm</t>
  </si>
  <si>
    <t xml:space="preserve">responsibility</t>
  </si>
  <si>
    <t xml:space="preserve">責任</t>
  </si>
  <si>
    <t xml:space="preserve">zaak-jam</t>
  </si>
  <si>
    <t xml:space="preserve">giá trị</t>
  </si>
  <si>
    <t xml:space="preserve">value / worth</t>
  </si>
  <si>
    <t xml:space="preserve">價值</t>
  </si>
  <si>
    <t xml:space="preserve">gaa-zik</t>
  </si>
  <si>
    <t xml:space="preserve">tình yêu</t>
  </si>
  <si>
    <t xml:space="preserve">love (romantic)</t>
  </si>
  <si>
    <t xml:space="preserve">愛情</t>
  </si>
  <si>
    <t xml:space="preserve">oi-cing</t>
  </si>
  <si>
    <t xml:space="preserve">tình bạn</t>
  </si>
  <si>
    <t xml:space="preserve">friendship</t>
  </si>
  <si>
    <t xml:space="preserve">友誼</t>
  </si>
  <si>
    <t xml:space="preserve">jau-ji</t>
  </si>
  <si>
    <t xml:space="preserve">sự tôn trọng</t>
  </si>
  <si>
    <t xml:space="preserve">respect</t>
  </si>
  <si>
    <t xml:space="preserve">尊重</t>
  </si>
  <si>
    <t xml:space="preserve">zyun-zung</t>
  </si>
  <si>
    <t xml:space="preserve">sự tin tưởng</t>
  </si>
  <si>
    <t xml:space="preserve">trust</t>
  </si>
  <si>
    <t xml:space="preserve">信任</t>
  </si>
  <si>
    <t xml:space="preserve">seon-jam</t>
  </si>
  <si>
    <t xml:space="preserve">tương lai</t>
  </si>
  <si>
    <t xml:space="preserve">future</t>
  </si>
  <si>
    <r>
      <rPr>
        <sz val="9"/>
        <color rgb="FF000000"/>
        <rFont val="Noto Sans CJK SC"/>
        <family val="2"/>
      </rPr>
      <t xml:space="preserve">將來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未來</t>
    </r>
  </si>
  <si>
    <t xml:space="preserve">zoeng-loi/mei-loi</t>
  </si>
  <si>
    <t xml:space="preserve">quá khứ</t>
  </si>
  <si>
    <t xml:space="preserve">past</t>
  </si>
  <si>
    <t xml:space="preserve">過去</t>
  </si>
  <si>
    <t xml:space="preserve">gwo-heoi</t>
  </si>
  <si>
    <t xml:space="preserve">hiện tại</t>
  </si>
  <si>
    <t xml:space="preserve">present (time)</t>
  </si>
  <si>
    <t xml:space="preserve">cái</t>
  </si>
  <si>
    <t xml:space="preserve">classifier for objects</t>
  </si>
  <si>
    <r>
      <rPr>
        <sz val="9"/>
        <color rgb="FF000000"/>
        <rFont val="Noto Sans CJK SC"/>
        <family val="2"/>
      </rPr>
      <t xml:space="preserve">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件</t>
    </r>
  </si>
  <si>
    <t xml:space="preserve">go/gin</t>
  </si>
  <si>
    <t xml:space="preserve">most common</t>
  </si>
  <si>
    <t xml:space="preserve">classifier for animals/people</t>
  </si>
  <si>
    <r>
      <rPr>
        <sz val="9"/>
        <color rgb="FF000000"/>
        <rFont val="Noto Sans CJK SC"/>
        <family val="2"/>
      </rPr>
      <t xml:space="preserve">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頭</t>
    </r>
  </si>
  <si>
    <t xml:space="preserve">tiu/tau</t>
  </si>
  <si>
    <t xml:space="preserve">chiếc</t>
  </si>
  <si>
    <t xml:space="preserve">classifier for single items</t>
  </si>
  <si>
    <t xml:space="preserve">隻</t>
  </si>
  <si>
    <t xml:space="preserve">zek</t>
  </si>
  <si>
    <t xml:space="preserve">cuốn</t>
  </si>
  <si>
    <t xml:space="preserve">classifier for books</t>
  </si>
  <si>
    <t xml:space="preserve">本</t>
  </si>
  <si>
    <t xml:space="preserve">tờ</t>
  </si>
  <si>
    <t xml:space="preserve">classifier for flat things (paper)</t>
  </si>
  <si>
    <t xml:space="preserve">張</t>
  </si>
  <si>
    <t xml:space="preserve">zoeng</t>
  </si>
  <si>
    <t xml:space="preserve">classifier for long thin things</t>
  </si>
  <si>
    <r>
      <rPr>
        <sz val="9"/>
        <color rgb="FF000000"/>
        <rFont val="Noto Sans CJK SC"/>
        <family val="2"/>
      </rPr>
      <t xml:space="preserve">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支</t>
    </r>
  </si>
  <si>
    <t xml:space="preserve">tiu/zi</t>
  </si>
  <si>
    <t xml:space="preserve">chén</t>
  </si>
  <si>
    <t xml:space="preserve">bowl</t>
  </si>
  <si>
    <t xml:space="preserve">碗</t>
  </si>
  <si>
    <t xml:space="preserve">wun</t>
  </si>
  <si>
    <t xml:space="preserve">ly / cốc</t>
  </si>
  <si>
    <t xml:space="preserve">glass / cup</t>
  </si>
  <si>
    <t xml:space="preserve">杯</t>
  </si>
  <si>
    <t xml:space="preserve">ly = Southern</t>
  </si>
  <si>
    <t xml:space="preserve">bottle</t>
  </si>
  <si>
    <t xml:space="preserve">樽</t>
  </si>
  <si>
    <t xml:space="preserve">zeon</t>
  </si>
  <si>
    <t xml:space="preserve">đĩa</t>
  </si>
  <si>
    <t xml:space="preserve">plate / dish</t>
  </si>
  <si>
    <t xml:space="preserve">碟</t>
  </si>
  <si>
    <t xml:space="preserve">dip</t>
  </si>
  <si>
    <t xml:space="preserve">tô</t>
  </si>
  <si>
    <t xml:space="preserve">large bowl (Southern)</t>
  </si>
  <si>
    <t xml:space="preserve">大碗</t>
  </si>
  <si>
    <t xml:space="preserve">daai-wun</t>
  </si>
  <si>
    <t xml:space="preserve">tô = Southern</t>
  </si>
  <si>
    <t xml:space="preserve">thời tiết</t>
  </si>
  <si>
    <t xml:space="preserve">weather</t>
  </si>
  <si>
    <t xml:space="preserve">天氣</t>
  </si>
  <si>
    <t xml:space="preserve">tin-hei</t>
  </si>
  <si>
    <t xml:space="preserve">nắng</t>
  </si>
  <si>
    <t xml:space="preserve">sunny</t>
  </si>
  <si>
    <t xml:space="preserve">陽光</t>
  </si>
  <si>
    <t xml:space="preserve">joeng-gwong</t>
  </si>
  <si>
    <t xml:space="preserve">rainy / rain</t>
  </si>
  <si>
    <t xml:space="preserve">sương mù</t>
  </si>
  <si>
    <t xml:space="preserve">fog / mist</t>
  </si>
  <si>
    <t xml:space="preserve">霧</t>
  </si>
  <si>
    <t xml:space="preserve">ẩm ướt</t>
  </si>
  <si>
    <t xml:space="preserve">humid / wet</t>
  </si>
  <si>
    <t xml:space="preserve">潮濕</t>
  </si>
  <si>
    <t xml:space="preserve">ciu-sap</t>
  </si>
  <si>
    <t xml:space="preserve">khô</t>
  </si>
  <si>
    <t xml:space="preserve">dry</t>
  </si>
  <si>
    <t xml:space="preserve">乾燥</t>
  </si>
  <si>
    <t xml:space="preserve">gon-zou</t>
  </si>
  <si>
    <t xml:space="preserve">dự báo thời tiết</t>
  </si>
  <si>
    <t xml:space="preserve">weather forecast</t>
  </si>
  <si>
    <t xml:space="preserve">天氣預報</t>
  </si>
  <si>
    <t xml:space="preserve">tin-hei-jyu-bou</t>
  </si>
  <si>
    <t xml:space="preserve">bắc</t>
  </si>
  <si>
    <t xml:space="preserve">north</t>
  </si>
  <si>
    <t xml:space="preserve">北</t>
  </si>
  <si>
    <t xml:space="preserve">bak</t>
  </si>
  <si>
    <t xml:space="preserve">nam</t>
  </si>
  <si>
    <t xml:space="preserve">south</t>
  </si>
  <si>
    <t xml:space="preserve">南</t>
  </si>
  <si>
    <t xml:space="preserve">naam</t>
  </si>
  <si>
    <t xml:space="preserve">đông</t>
  </si>
  <si>
    <t xml:space="preserve">east</t>
  </si>
  <si>
    <t xml:space="preserve">東</t>
  </si>
  <si>
    <t xml:space="preserve">dung</t>
  </si>
  <si>
    <t xml:space="preserve">tây</t>
  </si>
  <si>
    <t xml:space="preserve">west</t>
  </si>
  <si>
    <t xml:space="preserve">西</t>
  </si>
  <si>
    <t xml:space="preserve">trái</t>
  </si>
  <si>
    <t xml:space="preserve">left</t>
  </si>
  <si>
    <t xml:space="preserve">左</t>
  </si>
  <si>
    <t xml:space="preserve">zo</t>
  </si>
  <si>
    <t xml:space="preserve">phải</t>
  </si>
  <si>
    <t xml:space="preserve">right</t>
  </si>
  <si>
    <t xml:space="preserve">右</t>
  </si>
  <si>
    <t xml:space="preserve">thẳng</t>
  </si>
  <si>
    <t xml:space="preserve">straight</t>
  </si>
  <si>
    <t xml:space="preserve">直</t>
  </si>
  <si>
    <t xml:space="preserve">zik</t>
  </si>
  <si>
    <t xml:space="preserve">gần</t>
  </si>
  <si>
    <t xml:space="preserve">near / close</t>
  </si>
  <si>
    <t xml:space="preserve">近</t>
  </si>
  <si>
    <t xml:space="preserve">kan</t>
  </si>
  <si>
    <t xml:space="preserve">xa</t>
  </si>
  <si>
    <t xml:space="preserve">far</t>
  </si>
  <si>
    <t xml:space="preserve">遠</t>
  </si>
  <si>
    <t xml:space="preserve">jyun</t>
  </si>
  <si>
    <t xml:space="preserve">đây</t>
  </si>
  <si>
    <t xml:space="preserve">here</t>
  </si>
  <si>
    <t xml:space="preserve">這裡</t>
  </si>
  <si>
    <t xml:space="preserve">ni-dou</t>
  </si>
  <si>
    <t xml:space="preserve">đó / kia</t>
  </si>
  <si>
    <t xml:space="preserve">there</t>
  </si>
  <si>
    <t xml:space="preserve">那裡</t>
  </si>
  <si>
    <t xml:space="preserve">go-dou</t>
  </si>
  <si>
    <t xml:space="preserve">Tôi không hiểu</t>
  </si>
  <si>
    <t xml:space="preserve">I don't understand</t>
  </si>
  <si>
    <t xml:space="preserve">我不明白</t>
  </si>
  <si>
    <t xml:space="preserve">ngo-m-ming-baak</t>
  </si>
  <si>
    <t xml:space="preserve">Bạn nói chậm hơn được không?</t>
  </si>
  <si>
    <t xml:space="preserve">Can you speak slower?</t>
  </si>
  <si>
    <r>
      <rPr>
        <sz val="9"/>
        <color rgb="FF000000"/>
        <rFont val="Noto Sans CJK SC"/>
        <family val="2"/>
      </rPr>
      <t xml:space="preserve">你可以說慢些嗎</t>
    </r>
    <r>
      <rPr>
        <sz val="9"/>
        <color rgb="FF000000"/>
        <rFont val="Arial"/>
        <family val="0"/>
        <charset val="1"/>
      </rPr>
      <t xml:space="preserve">?</t>
    </r>
  </si>
  <si>
    <t xml:space="preserve">nei-ho-ji-gong-maan-di-maa</t>
  </si>
  <si>
    <t xml:space="preserve">Tôi cần giúp đỡ</t>
  </si>
  <si>
    <t xml:space="preserve">I need help</t>
  </si>
  <si>
    <t xml:space="preserve">我需要幫助</t>
  </si>
  <si>
    <t xml:space="preserve">ngo-seoi-jiu-bong-zo</t>
  </si>
  <si>
    <t xml:space="preserve">Ở đâu là...?</t>
  </si>
  <si>
    <t xml:space="preserve">Where is...?</t>
  </si>
  <si>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在哪裡</t>
    </r>
    <r>
      <rPr>
        <sz val="9"/>
        <color rgb="FF000000"/>
        <rFont val="Arial"/>
        <family val="0"/>
        <charset val="1"/>
      </rPr>
      <t xml:space="preserve">?</t>
    </r>
  </si>
  <si>
    <t xml:space="preserve">...hai-bin-dou</t>
  </si>
  <si>
    <t xml:space="preserve">Cái này là gì?</t>
  </si>
  <si>
    <t xml:space="preserve">What is this?</t>
  </si>
  <si>
    <r>
      <rPr>
        <sz val="9"/>
        <color rgb="FF000000"/>
        <rFont val="Noto Sans CJK SC"/>
        <family val="2"/>
      </rPr>
      <t xml:space="preserve">這是什麼</t>
    </r>
    <r>
      <rPr>
        <sz val="9"/>
        <color rgb="FF000000"/>
        <rFont val="Arial"/>
        <family val="0"/>
        <charset val="1"/>
      </rPr>
      <t xml:space="preserve">?</t>
    </r>
  </si>
  <si>
    <t xml:space="preserve">ni-hai-mat-je</t>
  </si>
  <si>
    <t xml:space="preserve">Tôi muốn...</t>
  </si>
  <si>
    <t xml:space="preserve">I want...</t>
  </si>
  <si>
    <r>
      <rPr>
        <sz val="9"/>
        <color rgb="FF000000"/>
        <rFont val="Noto Sans CJK SC"/>
        <family val="2"/>
      </rPr>
      <t xml:space="preserve">我想要</t>
    </r>
    <r>
      <rPr>
        <sz val="9"/>
        <color rgb="FF000000"/>
        <rFont val="Arial"/>
        <family val="0"/>
        <charset val="1"/>
      </rPr>
      <t xml:space="preserve">...</t>
    </r>
  </si>
  <si>
    <t xml:space="preserve">ngo-soeng-jiu...</t>
  </si>
  <si>
    <t xml:space="preserve">Tôi không biết</t>
  </si>
  <si>
    <t xml:space="preserve">I don't know</t>
  </si>
  <si>
    <t xml:space="preserve">我不知道</t>
  </si>
  <si>
    <t xml:space="preserve">ngo-m-zi-dou</t>
  </si>
  <si>
    <t xml:space="preserve">Không sao</t>
  </si>
  <si>
    <t xml:space="preserve">It's okay / Never mind</t>
  </si>
  <si>
    <t xml:space="preserve">Đúng rồi</t>
  </si>
  <si>
    <t xml:space="preserve">That's right / Correct</t>
  </si>
  <si>
    <t xml:space="preserve">對了</t>
  </si>
  <si>
    <t xml:space="preserve">deoi-liu</t>
  </si>
  <si>
    <t xml:space="preserve">Thật không?</t>
  </si>
  <si>
    <t xml:space="preserve">Really?</t>
  </si>
  <si>
    <r>
      <rPr>
        <sz val="9"/>
        <color rgb="FF000000"/>
        <rFont val="Noto Sans CJK SC"/>
        <family val="2"/>
      </rPr>
      <t xml:space="preserve">真的嗎</t>
    </r>
    <r>
      <rPr>
        <sz val="9"/>
        <color rgb="FF000000"/>
        <rFont val="Arial"/>
        <family val="0"/>
        <charset val="1"/>
      </rPr>
      <t xml:space="preserve">?</t>
    </r>
  </si>
  <si>
    <t xml:space="preserve">zan-ge-maa</t>
  </si>
  <si>
    <t xml:space="preserve">Tất nhiên rồi</t>
  </si>
  <si>
    <t xml:space="preserve">Of course!</t>
  </si>
  <si>
    <r>
      <rPr>
        <sz val="9"/>
        <color rgb="FF000000"/>
        <rFont val="Noto Sans CJK SC"/>
        <family val="2"/>
      </rPr>
      <t xml:space="preserve">當然啦</t>
    </r>
    <r>
      <rPr>
        <sz val="9"/>
        <color rgb="FF000000"/>
        <rFont val="Arial"/>
        <family val="0"/>
        <charset val="1"/>
      </rPr>
      <t xml:space="preserve">!</t>
    </r>
  </si>
  <si>
    <t xml:space="preserve">dong-jin-laa</t>
  </si>
  <si>
    <t xml:space="preserve">Theo tôi...</t>
  </si>
  <si>
    <t xml:space="preserve">In my opinion...</t>
  </si>
  <si>
    <r>
      <rPr>
        <sz val="9"/>
        <color rgb="FF000000"/>
        <rFont val="Noto Sans CJK SC"/>
        <family val="2"/>
      </rPr>
      <t xml:space="preserve">依我看</t>
    </r>
    <r>
      <rPr>
        <sz val="9"/>
        <color rgb="FF000000"/>
        <rFont val="Arial"/>
        <family val="0"/>
        <charset val="1"/>
      </rPr>
      <t xml:space="preserve">...</t>
    </r>
  </si>
  <si>
    <t xml:space="preserve">ji-ngo-tai...</t>
  </si>
  <si>
    <t xml:space="preserve">Tôi đồng ý</t>
  </si>
  <si>
    <t xml:space="preserve">I agree</t>
  </si>
  <si>
    <t xml:space="preserve">我同意</t>
  </si>
  <si>
    <t xml:space="preserve">ngo-tung-ji</t>
  </si>
  <si>
    <t xml:space="preserve">Tôi không đồng ý</t>
  </si>
  <si>
    <t xml:space="preserve">I disagree</t>
  </si>
  <si>
    <t xml:space="preserve">我不同意</t>
  </si>
  <si>
    <t xml:space="preserve">ngo-m-tung-ji</t>
  </si>
  <si>
    <t xml:space="preserve">Xin lỗi, tôi không hiểu</t>
  </si>
  <si>
    <t xml:space="preserve">Sorry, I don't understand</t>
  </si>
  <si>
    <t xml:space="preserve">對不起，我不明白</t>
  </si>
  <si>
    <t xml:space="preserve">deoi-m-zyu-ngo-m-ming-baak</t>
  </si>
  <si>
    <t xml:space="preserve">kinh doanh</t>
  </si>
  <si>
    <t xml:space="preserve">business</t>
  </si>
  <si>
    <r>
      <rPr>
        <sz val="9"/>
        <color rgb="FF000000"/>
        <rFont val="Noto Sans CJK SC"/>
        <family val="2"/>
      </rPr>
      <t xml:space="preserve">生意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商業</t>
    </r>
  </si>
  <si>
    <t xml:space="preserve">saang-ji/soeng-jip</t>
  </si>
  <si>
    <t xml:space="preserve">Sino-Viet: kinh doanh</t>
  </si>
  <si>
    <t xml:space="preserve">thương mại</t>
  </si>
  <si>
    <t xml:space="preserve">commerce / trade</t>
  </si>
  <si>
    <t xml:space="preserve">商貿</t>
  </si>
  <si>
    <t xml:space="preserve">soeng-mou</t>
  </si>
  <si>
    <t xml:space="preserve">Sino-Viet: thương mại</t>
  </si>
  <si>
    <t xml:space="preserve">đầu tư</t>
  </si>
  <si>
    <t xml:space="preserve">investment</t>
  </si>
  <si>
    <t xml:space="preserve">投資</t>
  </si>
  <si>
    <t xml:space="preserve">tau-zi</t>
  </si>
  <si>
    <t xml:space="preserve">Sino-Viet: đầu tư</t>
  </si>
  <si>
    <t xml:space="preserve">lợi nhuận</t>
  </si>
  <si>
    <t xml:space="preserve">profit</t>
  </si>
  <si>
    <t xml:space="preserve">利潤</t>
  </si>
  <si>
    <t xml:space="preserve">lei-jeon</t>
  </si>
  <si>
    <t xml:space="preserve">Sino-Viet: lợi nhuận</t>
  </si>
  <si>
    <t xml:space="preserve">thua lỗ</t>
  </si>
  <si>
    <t xml:space="preserve">loss</t>
  </si>
  <si>
    <t xml:space="preserve">虧損</t>
  </si>
  <si>
    <t xml:space="preserve">kwai-syun</t>
  </si>
  <si>
    <t xml:space="preserve">doanh thu</t>
  </si>
  <si>
    <t xml:space="preserve">revenue</t>
  </si>
  <si>
    <t xml:space="preserve">營業額</t>
  </si>
  <si>
    <t xml:space="preserve">jing-jip-ngaak</t>
  </si>
  <si>
    <t xml:space="preserve">Sino-Viet: doanh thu</t>
  </si>
  <si>
    <t xml:space="preserve">chi phí</t>
  </si>
  <si>
    <t xml:space="preserve">cost / expense</t>
  </si>
  <si>
    <t xml:space="preserve">費用</t>
  </si>
  <si>
    <t xml:space="preserve">fai-jung</t>
  </si>
  <si>
    <t xml:space="preserve">Sino-Viet: chi phí</t>
  </si>
  <si>
    <t xml:space="preserve">ngân sách</t>
  </si>
  <si>
    <t xml:space="preserve">budget</t>
  </si>
  <si>
    <t xml:space="preserve">預算</t>
  </si>
  <si>
    <t xml:space="preserve">jyu-syun</t>
  </si>
  <si>
    <t xml:space="preserve">Sino-Viet: ngân sách</t>
  </si>
  <si>
    <t xml:space="preserve">tài chính</t>
  </si>
  <si>
    <t xml:space="preserve">finance / financial</t>
  </si>
  <si>
    <r>
      <rPr>
        <sz val="9"/>
        <color rgb="FF000000"/>
        <rFont val="Noto Sans CJK SC"/>
        <family val="2"/>
      </rPr>
      <t xml:space="preserve">財政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金融</t>
    </r>
  </si>
  <si>
    <t xml:space="preserve">coi-zing/gam-jung</t>
  </si>
  <si>
    <t xml:space="preserve">Sino-Viet: tài chính</t>
  </si>
  <si>
    <t xml:space="preserve">cổ phiếu</t>
  </si>
  <si>
    <t xml:space="preserve">stock / shares</t>
  </si>
  <si>
    <t xml:space="preserve">股票</t>
  </si>
  <si>
    <t xml:space="preserve">gu-piu</t>
  </si>
  <si>
    <t xml:space="preserve">Sino-Viet: cổ phiếu</t>
  </si>
  <si>
    <t xml:space="preserve">thị trường</t>
  </si>
  <si>
    <t xml:space="preserve">Sino-Viet: thị trường</t>
  </si>
  <si>
    <t xml:space="preserve">cạnh tranh</t>
  </si>
  <si>
    <t xml:space="preserve">competition / compete</t>
  </si>
  <si>
    <t xml:space="preserve">競爭</t>
  </si>
  <si>
    <t xml:space="preserve">ging-zang</t>
  </si>
  <si>
    <t xml:space="preserve">Sino-Viet: cạnh tranh</t>
  </si>
  <si>
    <t xml:space="preserve">đối tác</t>
  </si>
  <si>
    <t xml:space="preserve">partner</t>
  </si>
  <si>
    <r>
      <rPr>
        <sz val="9"/>
        <color rgb="FF000000"/>
        <rFont val="Noto Sans CJK SC"/>
        <family val="2"/>
      </rPr>
      <t xml:space="preserve">夥伴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合作夥伴</t>
    </r>
  </si>
  <si>
    <t xml:space="preserve">fo-bun/hap-zok-fo-bun</t>
  </si>
  <si>
    <t xml:space="preserve">Sino-Viet: đối tác</t>
  </si>
  <si>
    <t xml:space="preserve">khách hàng</t>
  </si>
  <si>
    <t xml:space="preserve">customer / client</t>
  </si>
  <si>
    <t xml:space="preserve">客戶</t>
  </si>
  <si>
    <t xml:space="preserve">haak-wu</t>
  </si>
  <si>
    <t xml:space="preserve">Sino-Viet: khách hàng</t>
  </si>
  <si>
    <t xml:space="preserve">nhà cung cấp</t>
  </si>
  <si>
    <t xml:space="preserve">supplier</t>
  </si>
  <si>
    <t xml:space="preserve">供應商</t>
  </si>
  <si>
    <t xml:space="preserve">gung-jing-soeng</t>
  </si>
  <si>
    <t xml:space="preserve">đàm phán</t>
  </si>
  <si>
    <t xml:space="preserve">negotiation</t>
  </si>
  <si>
    <t xml:space="preserve">談判</t>
  </si>
  <si>
    <t xml:space="preserve">taam-pun</t>
  </si>
  <si>
    <t xml:space="preserve">Sino-Viet: đàm phán</t>
  </si>
  <si>
    <t xml:space="preserve">ký kết</t>
  </si>
  <si>
    <t xml:space="preserve">to sign (contract)</t>
  </si>
  <si>
    <t xml:space="preserve">簽署</t>
  </si>
  <si>
    <t xml:space="preserve">cim-cyu</t>
  </si>
  <si>
    <t xml:space="preserve">thanh toán</t>
  </si>
  <si>
    <t xml:space="preserve">payment</t>
  </si>
  <si>
    <r>
      <rPr>
        <sz val="9"/>
        <color rgb="FF000000"/>
        <rFont val="Noto Sans CJK SC"/>
        <family val="2"/>
      </rPr>
      <t xml:space="preserve">付款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結算</t>
    </r>
  </si>
  <si>
    <t xml:space="preserve">fu-fun/git-syun</t>
  </si>
  <si>
    <t xml:space="preserve">Sino-Viet: thanh toán</t>
  </si>
  <si>
    <t xml:space="preserve">invoice</t>
  </si>
  <si>
    <t xml:space="preserve">發票</t>
  </si>
  <si>
    <t xml:space="preserve">faat-piu</t>
  </si>
  <si>
    <t xml:space="preserve">thuế</t>
  </si>
  <si>
    <t xml:space="preserve">tax</t>
  </si>
  <si>
    <t xml:space="preserve">稅</t>
  </si>
  <si>
    <t xml:space="preserve">Sino-Viet: thuế</t>
  </si>
  <si>
    <t xml:space="preserve">vốn</t>
  </si>
  <si>
    <t xml:space="preserve">capital</t>
  </si>
  <si>
    <t xml:space="preserve">資本</t>
  </si>
  <si>
    <t xml:space="preserve">zi-bun</t>
  </si>
  <si>
    <t xml:space="preserve">Sino-Viet: vốn</t>
  </si>
  <si>
    <t xml:space="preserve">lãi suất</t>
  </si>
  <si>
    <t xml:space="preserve">interest rate</t>
  </si>
  <si>
    <t xml:space="preserve">利率</t>
  </si>
  <si>
    <t xml:space="preserve">lei-leot</t>
  </si>
  <si>
    <t xml:space="preserve">Sino-Viet: lãi suất</t>
  </si>
  <si>
    <t xml:space="preserve">vay</t>
  </si>
  <si>
    <t xml:space="preserve">to borrow / loan</t>
  </si>
  <si>
    <t xml:space="preserve">借</t>
  </si>
  <si>
    <t xml:space="preserve">cho vay</t>
  </si>
  <si>
    <t xml:space="preserve">to lend</t>
  </si>
  <si>
    <r>
      <rPr>
        <sz val="9"/>
        <color rgb="FF000000"/>
        <rFont val="Noto Sans CJK SC"/>
        <family val="2"/>
      </rPr>
      <t xml:space="preserve">借出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放貸</t>
    </r>
  </si>
  <si>
    <t xml:space="preserve">ze-ceot/fong-daai</t>
  </si>
  <si>
    <t xml:space="preserve">tiết kiệm</t>
  </si>
  <si>
    <t xml:space="preserve">to save / savings</t>
  </si>
  <si>
    <t xml:space="preserve">儲蓄</t>
  </si>
  <si>
    <t xml:space="preserve">cyu-cuk</t>
  </si>
  <si>
    <t xml:space="preserve">Sino-Viet: tiết kiệm</t>
  </si>
  <si>
    <t xml:space="preserve">chuyển khoản</t>
  </si>
  <si>
    <t xml:space="preserve">bank transfer</t>
  </si>
  <si>
    <t xml:space="preserve">轉賬</t>
  </si>
  <si>
    <t xml:space="preserve">zyun-zoeng</t>
  </si>
  <si>
    <t xml:space="preserve">xuất khẩu</t>
  </si>
  <si>
    <t xml:space="preserve">export</t>
  </si>
  <si>
    <t xml:space="preserve">出口</t>
  </si>
  <si>
    <t xml:space="preserve">ceot-hau</t>
  </si>
  <si>
    <t xml:space="preserve">Sino-Viet: xuất khẩu</t>
  </si>
  <si>
    <t xml:space="preserve">nhập khẩu</t>
  </si>
  <si>
    <t xml:space="preserve">import</t>
  </si>
  <si>
    <r>
      <rPr>
        <sz val="9"/>
        <color rgb="FF000000"/>
        <rFont val="Noto Sans CJK SC"/>
        <family val="2"/>
      </rPr>
      <t xml:space="preserve">入口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進口</t>
    </r>
  </si>
  <si>
    <t xml:space="preserve">jap-hau/zeon-hau</t>
  </si>
  <si>
    <t xml:space="preserve">Sino-Viet: nhập khẩu</t>
  </si>
  <si>
    <t xml:space="preserve">thương hiệu</t>
  </si>
  <si>
    <t xml:space="preserve">brand</t>
  </si>
  <si>
    <t xml:space="preserve">品牌</t>
  </si>
  <si>
    <t xml:space="preserve">ban-pai</t>
  </si>
  <si>
    <t xml:space="preserve">Sino-Viet: thương hiệu</t>
  </si>
  <si>
    <t xml:space="preserve">quảng cáo</t>
  </si>
  <si>
    <t xml:space="preserve">advertisement</t>
  </si>
  <si>
    <t xml:space="preserve">廣告</t>
  </si>
  <si>
    <t xml:space="preserve">gwong-gou</t>
  </si>
  <si>
    <t xml:space="preserve">Sino-Viet: quảng cáo</t>
  </si>
  <si>
    <t xml:space="preserve">tiếp thị</t>
  </si>
  <si>
    <t xml:space="preserve">marketing</t>
  </si>
  <si>
    <t xml:space="preserve">市場推廣</t>
  </si>
  <si>
    <t xml:space="preserve">si-coeng-teoi-gwong</t>
  </si>
  <si>
    <t xml:space="preserve">Sino-Viet: tiếp thị</t>
  </si>
  <si>
    <t xml:space="preserve">chiến lược</t>
  </si>
  <si>
    <t xml:space="preserve">strategy</t>
  </si>
  <si>
    <t xml:space="preserve">戰略</t>
  </si>
  <si>
    <t xml:space="preserve">zin-loek</t>
  </si>
  <si>
    <t xml:space="preserve">Sino-Viet: chiến lược</t>
  </si>
  <si>
    <t xml:space="preserve">mục tiêu kinh doanh</t>
  </si>
  <si>
    <t xml:space="preserve">business goal</t>
  </si>
  <si>
    <t xml:space="preserve">商業目標</t>
  </si>
  <si>
    <t xml:space="preserve">soeng-jip-muk-biu</t>
  </si>
  <si>
    <t xml:space="preserve">tăng trưởng</t>
  </si>
  <si>
    <t xml:space="preserve">growth</t>
  </si>
  <si>
    <t xml:space="preserve">增長</t>
  </si>
  <si>
    <t xml:space="preserve">zang-zoeng</t>
  </si>
  <si>
    <t xml:space="preserve">Sino-Viet: tăng trưởng</t>
  </si>
  <si>
    <t xml:space="preserve">suy thoái</t>
  </si>
  <si>
    <t xml:space="preserve">recession / downturn</t>
  </si>
  <si>
    <t xml:space="preserve">衰退</t>
  </si>
  <si>
    <t xml:space="preserve">seoi-teoi</t>
  </si>
  <si>
    <t xml:space="preserve">Sino-Viet: suy thoái</t>
  </si>
  <si>
    <t xml:space="preserve">phá sản</t>
  </si>
  <si>
    <t xml:space="preserve">bankruptcy</t>
  </si>
  <si>
    <t xml:space="preserve">破產</t>
  </si>
  <si>
    <t xml:space="preserve">po-caan</t>
  </si>
  <si>
    <t xml:space="preserve">Sino-Viet: phá sản</t>
  </si>
  <si>
    <t xml:space="preserve">tái cơ cấu</t>
  </si>
  <si>
    <t xml:space="preserve">restructuring</t>
  </si>
  <si>
    <t xml:space="preserve">重組</t>
  </si>
  <si>
    <t xml:space="preserve">zung-zou</t>
  </si>
  <si>
    <t xml:space="preserve">mô hình kinh doanh</t>
  </si>
  <si>
    <t xml:space="preserve">business model</t>
  </si>
  <si>
    <t xml:space="preserve">商業模式</t>
  </si>
  <si>
    <t xml:space="preserve">soeng-jip-mou-sik</t>
  </si>
  <si>
    <t xml:space="preserve">khởi nghiệp</t>
  </si>
  <si>
    <t xml:space="preserve">startup / entrepreneurship</t>
  </si>
  <si>
    <t xml:space="preserve">創業</t>
  </si>
  <si>
    <t xml:space="preserve">cong-jip</t>
  </si>
  <si>
    <t xml:space="preserve">Sino-Viet: khởi nghiệp</t>
  </si>
  <si>
    <t xml:space="preserve">luật sư</t>
  </si>
  <si>
    <t xml:space="preserve">lawyer</t>
  </si>
  <si>
    <t xml:space="preserve">律師</t>
  </si>
  <si>
    <t xml:space="preserve">leot-si</t>
  </si>
  <si>
    <t xml:space="preserve">Sino-Viet: luật sư</t>
  </si>
  <si>
    <t xml:space="preserve">tòa án</t>
  </si>
  <si>
    <t xml:space="preserve">court</t>
  </si>
  <si>
    <t xml:space="preserve">法院</t>
  </si>
  <si>
    <t xml:space="preserve">faat-jyun</t>
  </si>
  <si>
    <t xml:space="preserve">Sino-Viet: tòa án</t>
  </si>
  <si>
    <t xml:space="preserve">thẩm phán</t>
  </si>
  <si>
    <t xml:space="preserve">judge</t>
  </si>
  <si>
    <t xml:space="preserve">法官</t>
  </si>
  <si>
    <t xml:space="preserve">faat-gun</t>
  </si>
  <si>
    <t xml:space="preserve">Sino-Viet: thẩm phán</t>
  </si>
  <si>
    <t xml:space="preserve">bị cáo</t>
  </si>
  <si>
    <t xml:space="preserve">defendant</t>
  </si>
  <si>
    <t xml:space="preserve">被告</t>
  </si>
  <si>
    <t xml:space="preserve">bei-gou</t>
  </si>
  <si>
    <t xml:space="preserve">Sino-Viet: bị cáo</t>
  </si>
  <si>
    <t xml:space="preserve">nguyên đơn</t>
  </si>
  <si>
    <t xml:space="preserve">plaintiff</t>
  </si>
  <si>
    <t xml:space="preserve">原告</t>
  </si>
  <si>
    <t xml:space="preserve">jyun-gou</t>
  </si>
  <si>
    <t xml:space="preserve">tội phạm</t>
  </si>
  <si>
    <t xml:space="preserve">crime / criminal</t>
  </si>
  <si>
    <t xml:space="preserve">罪犯</t>
  </si>
  <si>
    <t xml:space="preserve">zeoi-faan</t>
  </si>
  <si>
    <t xml:space="preserve">Sino-Viet: tội phạm</t>
  </si>
  <si>
    <t xml:space="preserve">bắt giữ</t>
  </si>
  <si>
    <t xml:space="preserve">to arrest</t>
  </si>
  <si>
    <t xml:space="preserve">拘捕</t>
  </si>
  <si>
    <t xml:space="preserve">keoi-bou</t>
  </si>
  <si>
    <t xml:space="preserve">cảnh sát</t>
  </si>
  <si>
    <t xml:space="preserve">police</t>
  </si>
  <si>
    <t xml:space="preserve">警察</t>
  </si>
  <si>
    <t xml:space="preserve">ging-caat</t>
  </si>
  <si>
    <t xml:space="preserve">Sino-Viet: cảnh sát</t>
  </si>
  <si>
    <t xml:space="preserve">quân đội</t>
  </si>
  <si>
    <t xml:space="preserve">military / army</t>
  </si>
  <si>
    <t xml:space="preserve">軍隊</t>
  </si>
  <si>
    <t xml:space="preserve">gwan-deoi</t>
  </si>
  <si>
    <t xml:space="preserve">Sino-Viet: quân đội</t>
  </si>
  <si>
    <t xml:space="preserve">hiến pháp</t>
  </si>
  <si>
    <t xml:space="preserve">constitution</t>
  </si>
  <si>
    <t xml:space="preserve">憲法</t>
  </si>
  <si>
    <t xml:space="preserve">hin-faat</t>
  </si>
  <si>
    <t xml:space="preserve">Sino-Viet: hiến pháp</t>
  </si>
  <si>
    <t xml:space="preserve">bầu cử</t>
  </si>
  <si>
    <t xml:space="preserve">election</t>
  </si>
  <si>
    <t xml:space="preserve">選舉</t>
  </si>
  <si>
    <t xml:space="preserve">syun-geoi</t>
  </si>
  <si>
    <t xml:space="preserve">Sino-Viet: bầu cử</t>
  </si>
  <si>
    <t xml:space="preserve">ứng cử viên</t>
  </si>
  <si>
    <t xml:space="preserve">candidate</t>
  </si>
  <si>
    <t xml:space="preserve">候選人</t>
  </si>
  <si>
    <t xml:space="preserve">hau-syun-jan</t>
  </si>
  <si>
    <t xml:space="preserve">đảng</t>
  </si>
  <si>
    <t xml:space="preserve">political party</t>
  </si>
  <si>
    <t xml:space="preserve">黨</t>
  </si>
  <si>
    <t xml:space="preserve">dong</t>
  </si>
  <si>
    <t xml:space="preserve">Sino-Viet: đảng</t>
  </si>
  <si>
    <t xml:space="preserve">chính sách</t>
  </si>
  <si>
    <t xml:space="preserve">policy</t>
  </si>
  <si>
    <t xml:space="preserve">政策</t>
  </si>
  <si>
    <t xml:space="preserve">zing-caak</t>
  </si>
  <si>
    <t xml:space="preserve">Sino-Viet: chính sách</t>
  </si>
  <si>
    <t xml:space="preserve">quy định</t>
  </si>
  <si>
    <t xml:space="preserve">regulation / rule</t>
  </si>
  <si>
    <t xml:space="preserve">規定</t>
  </si>
  <si>
    <t xml:space="preserve">kwai-ding</t>
  </si>
  <si>
    <t xml:space="preserve">Sino-Viet: quy định</t>
  </si>
  <si>
    <t xml:space="preserve">giấy phép</t>
  </si>
  <si>
    <t xml:space="preserve">license / permit</t>
  </si>
  <si>
    <r>
      <rPr>
        <sz val="9"/>
        <color rgb="FF000000"/>
        <rFont val="Noto Sans CJK SC"/>
        <family val="2"/>
      </rPr>
      <t xml:space="preserve">牌照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許可證</t>
    </r>
  </si>
  <si>
    <t xml:space="preserve">paai-ziu/heoi-ho-zing</t>
  </si>
  <si>
    <t xml:space="preserve">hộ chiếu</t>
  </si>
  <si>
    <t xml:space="preserve">passport</t>
  </si>
  <si>
    <t xml:space="preserve">護照</t>
  </si>
  <si>
    <t xml:space="preserve">wu-ziu</t>
  </si>
  <si>
    <t xml:space="preserve">Sino-Viet: hộ chiếu</t>
  </si>
  <si>
    <t xml:space="preserve">thị thực / visa</t>
  </si>
  <si>
    <t xml:space="preserve">visa</t>
  </si>
  <si>
    <t xml:space="preserve">簽證</t>
  </si>
  <si>
    <t xml:space="preserve">cim-zing</t>
  </si>
  <si>
    <t xml:space="preserve">Sino-Viet: thị thực</t>
  </si>
  <si>
    <t xml:space="preserve">quốc tịch</t>
  </si>
  <si>
    <t xml:space="preserve">nationality / citizenship</t>
  </si>
  <si>
    <t xml:space="preserve">國籍</t>
  </si>
  <si>
    <t xml:space="preserve">gwok-zik</t>
  </si>
  <si>
    <t xml:space="preserve">Sino-Viet: quốc tịch</t>
  </si>
  <si>
    <t xml:space="preserve">đại sứ quán</t>
  </si>
  <si>
    <t xml:space="preserve">embassy</t>
  </si>
  <si>
    <t xml:space="preserve">大使館</t>
  </si>
  <si>
    <t xml:space="preserve">daai-si-gun</t>
  </si>
  <si>
    <t xml:space="preserve">Sino-Viet: đại sứ quán</t>
  </si>
  <si>
    <t xml:space="preserve">lãnh sự quán</t>
  </si>
  <si>
    <t xml:space="preserve">consulate</t>
  </si>
  <si>
    <t xml:space="preserve">領事館</t>
  </si>
  <si>
    <t xml:space="preserve">ling-si-gun</t>
  </si>
  <si>
    <t xml:space="preserve">nghiên cứu</t>
  </si>
  <si>
    <t xml:space="preserve">research</t>
  </si>
  <si>
    <t xml:space="preserve">研究</t>
  </si>
  <si>
    <t xml:space="preserve">jin-gau</t>
  </si>
  <si>
    <t xml:space="preserve">Sino-Viet: nghiên cứu</t>
  </si>
  <si>
    <t xml:space="preserve">luận văn</t>
  </si>
  <si>
    <t xml:space="preserve">thesis / dissertation</t>
  </si>
  <si>
    <t xml:space="preserve">論文</t>
  </si>
  <si>
    <t xml:space="preserve">leon-man</t>
  </si>
  <si>
    <t xml:space="preserve">Sino-Viet: luận văn</t>
  </si>
  <si>
    <t xml:space="preserve">học bổng</t>
  </si>
  <si>
    <t xml:space="preserve">scholarship</t>
  </si>
  <si>
    <t xml:space="preserve">獎學金</t>
  </si>
  <si>
    <t xml:space="preserve">zoeng-hok-gam</t>
  </si>
  <si>
    <t xml:space="preserve">Sino-Viet: học bổng</t>
  </si>
  <si>
    <t xml:space="preserve">giáo dục</t>
  </si>
  <si>
    <t xml:space="preserve">education</t>
  </si>
  <si>
    <t xml:space="preserve">教育</t>
  </si>
  <si>
    <t xml:space="preserve">gaau-juk</t>
  </si>
  <si>
    <t xml:space="preserve">Sino-Viet: giáo dục</t>
  </si>
  <si>
    <t xml:space="preserve">giảng viên</t>
  </si>
  <si>
    <t xml:space="preserve">lecturer</t>
  </si>
  <si>
    <t xml:space="preserve">講師</t>
  </si>
  <si>
    <t xml:space="preserve">gong-si</t>
  </si>
  <si>
    <t xml:space="preserve">Sino-Viet: giảng viên</t>
  </si>
  <si>
    <t xml:space="preserve">giáo sư</t>
  </si>
  <si>
    <t xml:space="preserve">professor</t>
  </si>
  <si>
    <t xml:space="preserve">教授</t>
  </si>
  <si>
    <t xml:space="preserve">gaau-sau</t>
  </si>
  <si>
    <t xml:space="preserve">Sino-Viet: giáo sư</t>
  </si>
  <si>
    <t xml:space="preserve">thư viện</t>
  </si>
  <si>
    <t xml:space="preserve">library</t>
  </si>
  <si>
    <t xml:space="preserve">圖書館</t>
  </si>
  <si>
    <t xml:space="preserve">tou-syu-gun</t>
  </si>
  <si>
    <t xml:space="preserve">Sino-Viet: thư viện</t>
  </si>
  <si>
    <t xml:space="preserve">môn học</t>
  </si>
  <si>
    <t xml:space="preserve">subject / course</t>
  </si>
  <si>
    <t xml:space="preserve">科目</t>
  </si>
  <si>
    <t xml:space="preserve">fo-muk</t>
  </si>
  <si>
    <t xml:space="preserve">chương trình</t>
  </si>
  <si>
    <t xml:space="preserve">curriculum / program</t>
  </si>
  <si>
    <t xml:space="preserve">課程</t>
  </si>
  <si>
    <t xml:space="preserve">fo-cing</t>
  </si>
  <si>
    <t xml:space="preserve">Sino-Viet: chương trình</t>
  </si>
  <si>
    <t xml:space="preserve">triết học</t>
  </si>
  <si>
    <t xml:space="preserve">philosophy</t>
  </si>
  <si>
    <t xml:space="preserve">哲學</t>
  </si>
  <si>
    <t xml:space="preserve">zit-hok</t>
  </si>
  <si>
    <t xml:space="preserve">Sino-Viet: triết học</t>
  </si>
  <si>
    <t xml:space="preserve">toán học</t>
  </si>
  <si>
    <t xml:space="preserve">mathematics</t>
  </si>
  <si>
    <t xml:space="preserve">數學</t>
  </si>
  <si>
    <t xml:space="preserve">sou-hok</t>
  </si>
  <si>
    <t xml:space="preserve">Sino-Viet: toán học</t>
  </si>
  <si>
    <t xml:space="preserve">vật lý</t>
  </si>
  <si>
    <t xml:space="preserve">physics</t>
  </si>
  <si>
    <t xml:space="preserve">物理</t>
  </si>
  <si>
    <t xml:space="preserve">mat-lei</t>
  </si>
  <si>
    <t xml:space="preserve">Sino-Viet: vật lý</t>
  </si>
  <si>
    <t xml:space="preserve">hóa học</t>
  </si>
  <si>
    <t xml:space="preserve">chemistry</t>
  </si>
  <si>
    <t xml:space="preserve">化學</t>
  </si>
  <si>
    <t xml:space="preserve">faa-hok</t>
  </si>
  <si>
    <t xml:space="preserve">Sino-Viet: hóa học</t>
  </si>
  <si>
    <t xml:space="preserve">sinh học</t>
  </si>
  <si>
    <t xml:space="preserve">biology</t>
  </si>
  <si>
    <t xml:space="preserve">生物學</t>
  </si>
  <si>
    <t xml:space="preserve">saang-mat-hok</t>
  </si>
  <si>
    <t xml:space="preserve">Sino-Viet: sinh học</t>
  </si>
  <si>
    <t xml:space="preserve">Sino-Viet: lịch sử</t>
  </si>
  <si>
    <t xml:space="preserve">địa lý</t>
  </si>
  <si>
    <t xml:space="preserve">geography</t>
  </si>
  <si>
    <t xml:space="preserve">地理</t>
  </si>
  <si>
    <t xml:space="preserve">dei-lei</t>
  </si>
  <si>
    <t xml:space="preserve">Sino-Viet: địa lý</t>
  </si>
  <si>
    <t xml:space="preserve">kinh tế</t>
  </si>
  <si>
    <t xml:space="preserve">economics</t>
  </si>
  <si>
    <t xml:space="preserve">經濟</t>
  </si>
  <si>
    <t xml:space="preserve">ging-zai</t>
  </si>
  <si>
    <t xml:space="preserve">Sino-Viet: kinh tế</t>
  </si>
  <si>
    <t xml:space="preserve">văn học</t>
  </si>
  <si>
    <t xml:space="preserve">literature</t>
  </si>
  <si>
    <t xml:space="preserve">文學</t>
  </si>
  <si>
    <t xml:space="preserve">man-hok</t>
  </si>
  <si>
    <t xml:space="preserve">Sino-Viet: văn học</t>
  </si>
  <si>
    <t xml:space="preserve">thể dục</t>
  </si>
  <si>
    <t xml:space="preserve">physical education</t>
  </si>
  <si>
    <t xml:space="preserve">Sino-Viet: thể dục</t>
  </si>
  <si>
    <t xml:space="preserve">tin học</t>
  </si>
  <si>
    <t xml:space="preserve">computer science/IT</t>
  </si>
  <si>
    <t xml:space="preserve">電腦科學</t>
  </si>
  <si>
    <t xml:space="preserve">din-nou-fo-hok</t>
  </si>
  <si>
    <t xml:space="preserve">ngoại ngữ</t>
  </si>
  <si>
    <t xml:space="preserve">foreign language</t>
  </si>
  <si>
    <t xml:space="preserve">外語</t>
  </si>
  <si>
    <t xml:space="preserve">ngoi-jyu</t>
  </si>
  <si>
    <t xml:space="preserve">Sino-Viet: ngoại ngữ</t>
  </si>
  <si>
    <t xml:space="preserve">khoa cấp cứu</t>
  </si>
  <si>
    <t xml:space="preserve">emergency room</t>
  </si>
  <si>
    <t xml:space="preserve">急診室</t>
  </si>
  <si>
    <t xml:space="preserve">gap-zan-sat</t>
  </si>
  <si>
    <t xml:space="preserve">phòng khám</t>
  </si>
  <si>
    <t xml:space="preserve">clinic</t>
  </si>
  <si>
    <t xml:space="preserve">診所</t>
  </si>
  <si>
    <t xml:space="preserve">zan-so</t>
  </si>
  <si>
    <t xml:space="preserve">chẩn đoán</t>
  </si>
  <si>
    <t xml:space="preserve">diagnosis</t>
  </si>
  <si>
    <t xml:space="preserve">診斷</t>
  </si>
  <si>
    <t xml:space="preserve">zan-tyun</t>
  </si>
  <si>
    <t xml:space="preserve">Sino-Viet: chẩn đoán</t>
  </si>
  <si>
    <t xml:space="preserve">điều trị</t>
  </si>
  <si>
    <t xml:space="preserve">treatment</t>
  </si>
  <si>
    <t xml:space="preserve">治療</t>
  </si>
  <si>
    <t xml:space="preserve">zi-liu</t>
  </si>
  <si>
    <t xml:space="preserve">Sino-Viet: điều trị</t>
  </si>
  <si>
    <t xml:space="preserve">phẫu thuật</t>
  </si>
  <si>
    <t xml:space="preserve">surgery / operation</t>
  </si>
  <si>
    <t xml:space="preserve">手術</t>
  </si>
  <si>
    <t xml:space="preserve">sau-sut</t>
  </si>
  <si>
    <t xml:space="preserve">Sino-Viet: phẫu thuật</t>
  </si>
  <si>
    <t xml:space="preserve">thuốc kháng sinh</t>
  </si>
  <si>
    <t xml:space="preserve">antibiotics</t>
  </si>
  <si>
    <t xml:space="preserve">抗生素</t>
  </si>
  <si>
    <t xml:space="preserve">kong-saang-sou</t>
  </si>
  <si>
    <t xml:space="preserve">tiêm / chích</t>
  </si>
  <si>
    <t xml:space="preserve">injection / shot</t>
  </si>
  <si>
    <t xml:space="preserve">注射</t>
  </si>
  <si>
    <t xml:space="preserve">zyu-se</t>
  </si>
  <si>
    <t xml:space="preserve">chích = Southern</t>
  </si>
  <si>
    <t xml:space="preserve">xét nghiệm</t>
  </si>
  <si>
    <t xml:space="preserve">blood test / lab test</t>
  </si>
  <si>
    <t xml:space="preserve">化驗</t>
  </si>
  <si>
    <t xml:space="preserve">faa-jim</t>
  </si>
  <si>
    <t xml:space="preserve">siêu âm</t>
  </si>
  <si>
    <t xml:space="preserve">ultrasound</t>
  </si>
  <si>
    <t xml:space="preserve">超聲波</t>
  </si>
  <si>
    <t xml:space="preserve">ciu-sing-bo</t>
  </si>
  <si>
    <t xml:space="preserve">Sino-Viet: siêu âm</t>
  </si>
  <si>
    <t xml:space="preserve">chụp X-quang</t>
  </si>
  <si>
    <t xml:space="preserve">X-ray</t>
  </si>
  <si>
    <r>
      <rPr>
        <sz val="9"/>
        <color rgb="FF000000"/>
        <rFont val="Arial"/>
        <family val="0"/>
        <charset val="1"/>
      </rPr>
      <t xml:space="preserve">X</t>
    </r>
    <r>
      <rPr>
        <sz val="9"/>
        <color rgb="FF000000"/>
        <rFont val="Noto Sans CJK SC"/>
        <family val="2"/>
      </rPr>
      <t xml:space="preserve">光</t>
    </r>
  </si>
  <si>
    <t xml:space="preserve">X-gwong</t>
  </si>
  <si>
    <t xml:space="preserve">nhập viện</t>
  </si>
  <si>
    <t xml:space="preserve">to be hospitalized</t>
  </si>
  <si>
    <t xml:space="preserve">入院</t>
  </si>
  <si>
    <t xml:space="preserve">jap-jyun</t>
  </si>
  <si>
    <t xml:space="preserve">xuất viện</t>
  </si>
  <si>
    <t xml:space="preserve">to be discharged</t>
  </si>
  <si>
    <t xml:space="preserve">出院</t>
  </si>
  <si>
    <t xml:space="preserve">ceot-jyun</t>
  </si>
  <si>
    <t xml:space="preserve">bảo hiểm y tế</t>
  </si>
  <si>
    <t xml:space="preserve">health insurance</t>
  </si>
  <si>
    <t xml:space="preserve">醫療保險</t>
  </si>
  <si>
    <t xml:space="preserve">ji-liu-bou-him</t>
  </si>
  <si>
    <t xml:space="preserve">đơn thuốc</t>
  </si>
  <si>
    <t xml:space="preserve">prescription</t>
  </si>
  <si>
    <t xml:space="preserve">藥方</t>
  </si>
  <si>
    <t xml:space="preserve">joek-fong</t>
  </si>
  <si>
    <t xml:space="preserve">nhà thuốc</t>
  </si>
  <si>
    <t xml:space="preserve">pharmacy</t>
  </si>
  <si>
    <t xml:space="preserve">藥房</t>
  </si>
  <si>
    <t xml:space="preserve">huyết áp</t>
  </si>
  <si>
    <t xml:space="preserve">blood pressure</t>
  </si>
  <si>
    <t xml:space="preserve">血壓</t>
  </si>
  <si>
    <t xml:space="preserve">hyut-aat</t>
  </si>
  <si>
    <t xml:space="preserve">Sino-Viet: huyết áp</t>
  </si>
  <si>
    <t xml:space="preserve">tiểu đường</t>
  </si>
  <si>
    <t xml:space="preserve">diabetes</t>
  </si>
  <si>
    <t xml:space="preserve">糖尿病</t>
  </si>
  <si>
    <t xml:space="preserve">tong-niu-beng</t>
  </si>
  <si>
    <t xml:space="preserve">ung thư</t>
  </si>
  <si>
    <t xml:space="preserve">cancer</t>
  </si>
  <si>
    <t xml:space="preserve">癌症</t>
  </si>
  <si>
    <t xml:space="preserve">ngaam-zing</t>
  </si>
  <si>
    <t xml:space="preserve">Sino-Viet: ung thư</t>
  </si>
  <si>
    <t xml:space="preserve">đột quỵ</t>
  </si>
  <si>
    <t xml:space="preserve">stroke</t>
  </si>
  <si>
    <t xml:space="preserve">中風</t>
  </si>
  <si>
    <t xml:space="preserve">zung-fung</t>
  </si>
  <si>
    <t xml:space="preserve">tim mạch</t>
  </si>
  <si>
    <t xml:space="preserve">cardiovascular</t>
  </si>
  <si>
    <t xml:space="preserve">心臟</t>
  </si>
  <si>
    <t xml:space="preserve">sam-zong</t>
  </si>
  <si>
    <t xml:space="preserve">Sino-Viet: tim mạch</t>
  </si>
  <si>
    <t xml:space="preserve">sức khỏe tâm thần</t>
  </si>
  <si>
    <t xml:space="preserve">mental health</t>
  </si>
  <si>
    <t xml:space="preserve">心理健康</t>
  </si>
  <si>
    <t xml:space="preserve">sam-lei-gin-hong</t>
  </si>
  <si>
    <t xml:space="preserve">căng thẳng</t>
  </si>
  <si>
    <t xml:space="preserve">stress</t>
  </si>
  <si>
    <t xml:space="preserve">壓力</t>
  </si>
  <si>
    <t xml:space="preserve">aat-lik</t>
  </si>
  <si>
    <t xml:space="preserve">trầm cảm</t>
  </si>
  <si>
    <t xml:space="preserve">depression</t>
  </si>
  <si>
    <t xml:space="preserve">抑鬱症</t>
  </si>
  <si>
    <t xml:space="preserve">jik-wat-zing</t>
  </si>
  <si>
    <t xml:space="preserve">Sino-Viet: trầm cảm</t>
  </si>
  <si>
    <t xml:space="preserve">lo âu</t>
  </si>
  <si>
    <t xml:space="preserve">anxiety</t>
  </si>
  <si>
    <t xml:space="preserve">焦慮</t>
  </si>
  <si>
    <t xml:space="preserve">ziu-leoi</t>
  </si>
  <si>
    <t xml:space="preserve">Sino-Viet: lo âu</t>
  </si>
  <si>
    <t xml:space="preserve">nấu ăn</t>
  </si>
  <si>
    <r>
      <rPr>
        <sz val="9"/>
        <color rgb="FF000000"/>
        <rFont val="Noto Sans CJK SC"/>
        <family val="2"/>
      </rPr>
      <t xml:space="preserve">煮飯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烹飪</t>
    </r>
  </si>
  <si>
    <t xml:space="preserve">zyu-faan/pang-jam</t>
  </si>
  <si>
    <t xml:space="preserve">công thức nấu ăn</t>
  </si>
  <si>
    <t xml:space="preserve">recipe</t>
  </si>
  <si>
    <t xml:space="preserve">食譜</t>
  </si>
  <si>
    <t xml:space="preserve">sik-pou</t>
  </si>
  <si>
    <t xml:space="preserve">nguyên liệu</t>
  </si>
  <si>
    <t xml:space="preserve">ingredient</t>
  </si>
  <si>
    <t xml:space="preserve">材料</t>
  </si>
  <si>
    <t xml:space="preserve">coi-liu</t>
  </si>
  <si>
    <t xml:space="preserve">Sino-Viet: nguyên liệu</t>
  </si>
  <si>
    <t xml:space="preserve">gia vị</t>
  </si>
  <si>
    <t xml:space="preserve">seasoning / spice</t>
  </si>
  <si>
    <t xml:space="preserve">調味料</t>
  </si>
  <si>
    <t xml:space="preserve">tiu-mei-liu</t>
  </si>
  <si>
    <t xml:space="preserve">Sino-Viet: gia vị</t>
  </si>
  <si>
    <t xml:space="preserve">chiên</t>
  </si>
  <si>
    <t xml:space="preserve">to fry</t>
  </si>
  <si>
    <r>
      <rPr>
        <sz val="9"/>
        <color rgb="FF000000"/>
        <rFont val="Noto Sans CJK SC"/>
        <family val="2"/>
      </rPr>
      <t xml:space="preserve">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炸</t>
    </r>
  </si>
  <si>
    <t xml:space="preserve">zin/zaa</t>
  </si>
  <si>
    <t xml:space="preserve">xào</t>
  </si>
  <si>
    <t xml:space="preserve">to stir-fry</t>
  </si>
  <si>
    <t xml:space="preserve">炒</t>
  </si>
  <si>
    <t xml:space="preserve">caau</t>
  </si>
  <si>
    <t xml:space="preserve">hầm</t>
  </si>
  <si>
    <t xml:space="preserve">to braise / stew</t>
  </si>
  <si>
    <t xml:space="preserve">燜</t>
  </si>
  <si>
    <t xml:space="preserve">luộc</t>
  </si>
  <si>
    <t xml:space="preserve">to boil</t>
  </si>
  <si>
    <t xml:space="preserve">nướng</t>
  </si>
  <si>
    <t xml:space="preserve">to grill / roast</t>
  </si>
  <si>
    <t xml:space="preserve">烤</t>
  </si>
  <si>
    <t xml:space="preserve">haau</t>
  </si>
  <si>
    <t xml:space="preserve">hấp</t>
  </si>
  <si>
    <t xml:space="preserve">to steam</t>
  </si>
  <si>
    <t xml:space="preserve">蒸</t>
  </si>
  <si>
    <t xml:space="preserve">zing</t>
  </si>
  <si>
    <t xml:space="preserve">bún bò Huế</t>
  </si>
  <si>
    <t xml:space="preserve">spicy Hue beef noodle</t>
  </si>
  <si>
    <t xml:space="preserve">順化牛肉米粉</t>
  </si>
  <si>
    <t xml:space="preserve">seon-faa-ngau-juk-mai-fan</t>
  </si>
  <si>
    <t xml:space="preserve">bánh xèo</t>
  </si>
  <si>
    <t xml:space="preserve">sizzling crepe</t>
  </si>
  <si>
    <t xml:space="preserve">煎餅</t>
  </si>
  <si>
    <t xml:space="preserve">zin-beng</t>
  </si>
  <si>
    <t xml:space="preserve">Southern specialty</t>
  </si>
  <si>
    <t xml:space="preserve">gỏi cuốn</t>
  </si>
  <si>
    <t xml:space="preserve">fresh spring rolls</t>
  </si>
  <si>
    <t xml:space="preserve">生春捲</t>
  </si>
  <si>
    <t xml:space="preserve">saang-ceon-gyun</t>
  </si>
  <si>
    <t xml:space="preserve">Southern = gỏi cuốn</t>
  </si>
  <si>
    <t xml:space="preserve">chả giò</t>
  </si>
  <si>
    <t xml:space="preserve">fried spring rolls</t>
  </si>
  <si>
    <t xml:space="preserve">炸春捲</t>
  </si>
  <si>
    <t xml:space="preserve">zaa-ceon-gyun</t>
  </si>
  <si>
    <t xml:space="preserve">Southern = chả giò</t>
  </si>
  <si>
    <t xml:space="preserve">cơm tấm</t>
  </si>
  <si>
    <t xml:space="preserve">broken rice</t>
  </si>
  <si>
    <t xml:space="preserve">碎米飯</t>
  </si>
  <si>
    <t xml:space="preserve">seoi-mai-faan</t>
  </si>
  <si>
    <t xml:space="preserve">iconic Southern dish</t>
  </si>
  <si>
    <t xml:space="preserve">bún thịt nướng</t>
  </si>
  <si>
    <t xml:space="preserve">BBQ pork vermicelli</t>
  </si>
  <si>
    <t xml:space="preserve">烤肉米粉</t>
  </si>
  <si>
    <t xml:space="preserve">haau-juk-mai-fan</t>
  </si>
  <si>
    <t xml:space="preserve">hủ tiếu</t>
  </si>
  <si>
    <t xml:space="preserve">Southern noodle soup</t>
  </si>
  <si>
    <r>
      <rPr>
        <sz val="9"/>
        <color rgb="FF000000"/>
        <rFont val="Noto Sans CJK SC"/>
        <family val="2"/>
      </rPr>
      <t xml:space="preserve">河粉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粿條</t>
    </r>
  </si>
  <si>
    <t xml:space="preserve">ho-fan/gwo-tiu</t>
  </si>
  <si>
    <t xml:space="preserve">popular in HCMC</t>
  </si>
  <si>
    <t xml:space="preserve">bánh cuốn</t>
  </si>
  <si>
    <t xml:space="preserve">rice roll</t>
  </si>
  <si>
    <t xml:space="preserve">米卷</t>
  </si>
  <si>
    <t xml:space="preserve">mai-gyun</t>
  </si>
  <si>
    <t xml:space="preserve">rau muống</t>
  </si>
  <si>
    <t xml:space="preserve">water spinach / morning glory</t>
  </si>
  <si>
    <t xml:space="preserve">空心菜</t>
  </si>
  <si>
    <t xml:space="preserve">hung-sam-coi</t>
  </si>
  <si>
    <t xml:space="preserve">very common in South</t>
  </si>
  <si>
    <t xml:space="preserve">mít</t>
  </si>
  <si>
    <t xml:space="preserve">jackfruit</t>
  </si>
  <si>
    <t xml:space="preserve">菠蘿蜜</t>
  </si>
  <si>
    <t xml:space="preserve">bo-lo-mat</t>
  </si>
  <si>
    <t xml:space="preserve">xoài</t>
  </si>
  <si>
    <t xml:space="preserve">mango</t>
  </si>
  <si>
    <t xml:space="preserve">芒果</t>
  </si>
  <si>
    <t xml:space="preserve">mong-gwo</t>
  </si>
  <si>
    <t xml:space="preserve">ổi</t>
  </si>
  <si>
    <t xml:space="preserve">guava</t>
  </si>
  <si>
    <t xml:space="preserve">番石榴</t>
  </si>
  <si>
    <t xml:space="preserve">faan-sek-lau</t>
  </si>
  <si>
    <t xml:space="preserve">dừa</t>
  </si>
  <si>
    <t xml:space="preserve">coconut</t>
  </si>
  <si>
    <t xml:space="preserve">椰子</t>
  </si>
  <si>
    <t xml:space="preserve">je-zi</t>
  </si>
  <si>
    <t xml:space="preserve">chuối</t>
  </si>
  <si>
    <t xml:space="preserve">banana</t>
  </si>
  <si>
    <t xml:space="preserve">香蕉</t>
  </si>
  <si>
    <t xml:space="preserve">hoeng-ziu</t>
  </si>
  <si>
    <t xml:space="preserve">dưa hấu</t>
  </si>
  <si>
    <t xml:space="preserve">watermelon</t>
  </si>
  <si>
    <t xml:space="preserve">西瓜</t>
  </si>
  <si>
    <t xml:space="preserve">sai-gwaa</t>
  </si>
  <si>
    <t xml:space="preserve">nhãn</t>
  </si>
  <si>
    <t xml:space="preserve">longan</t>
  </si>
  <si>
    <t xml:space="preserve">龍眼</t>
  </si>
  <si>
    <t xml:space="preserve">lung-ngaan</t>
  </si>
  <si>
    <t xml:space="preserve">vải</t>
  </si>
  <si>
    <t xml:space="preserve">lychee</t>
  </si>
  <si>
    <t xml:space="preserve">荔枝</t>
  </si>
  <si>
    <t xml:space="preserve">sầu riêng</t>
  </si>
  <si>
    <t xml:space="preserve">durian</t>
  </si>
  <si>
    <t xml:space="preserve">榴槤</t>
  </si>
  <si>
    <t xml:space="preserve">lau-lin</t>
  </si>
  <si>
    <t xml:space="preserve">love it or hate it!</t>
  </si>
  <si>
    <t xml:space="preserve">bơ</t>
  </si>
  <si>
    <t xml:space="preserve">butter / avocado</t>
  </si>
  <si>
    <r>
      <rPr>
        <sz val="9"/>
        <color rgb="FF000000"/>
        <rFont val="Noto Sans CJK SC"/>
        <family val="2"/>
      </rPr>
      <t xml:space="preserve">牛油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牛油果</t>
    </r>
  </si>
  <si>
    <t xml:space="preserve">ngau-jau/ngau-jau-gwo</t>
  </si>
  <si>
    <t xml:space="preserve">phô mai</t>
  </si>
  <si>
    <t xml:space="preserve">cheese</t>
  </si>
  <si>
    <t xml:space="preserve">芝士</t>
  </si>
  <si>
    <t xml:space="preserve">zi-si</t>
  </si>
  <si>
    <t xml:space="preserve">bất động sản</t>
  </si>
  <si>
    <t xml:space="preserve">real estate</t>
  </si>
  <si>
    <t xml:space="preserve">房地產</t>
  </si>
  <si>
    <t xml:space="preserve">fong-dei-caan</t>
  </si>
  <si>
    <t xml:space="preserve">Sino-Viet: bất động sản</t>
  </si>
  <si>
    <t xml:space="preserve">thuê nhà</t>
  </si>
  <si>
    <t xml:space="preserve">to rent a house</t>
  </si>
  <si>
    <t xml:space="preserve">租房</t>
  </si>
  <si>
    <t xml:space="preserve">zou-fong</t>
  </si>
  <si>
    <t xml:space="preserve">tiền thuê</t>
  </si>
  <si>
    <t xml:space="preserve">rent (payment)</t>
  </si>
  <si>
    <t xml:space="preserve">租金</t>
  </si>
  <si>
    <t xml:space="preserve">zou-gam</t>
  </si>
  <si>
    <t xml:space="preserve">Sino-Viet: tiền thuê</t>
  </si>
  <si>
    <t xml:space="preserve">chủ nhà</t>
  </si>
  <si>
    <t xml:space="preserve">landlord</t>
  </si>
  <si>
    <t xml:space="preserve">房東</t>
  </si>
  <si>
    <t xml:space="preserve">fong-dung</t>
  </si>
  <si>
    <t xml:space="preserve">người thuê</t>
  </si>
  <si>
    <t xml:space="preserve">tenant</t>
  </si>
  <si>
    <t xml:space="preserve">租客</t>
  </si>
  <si>
    <t xml:space="preserve">zou-haak</t>
  </si>
  <si>
    <t xml:space="preserve">hợp đồng thuê</t>
  </si>
  <si>
    <t xml:space="preserve">rental contract</t>
  </si>
  <si>
    <t xml:space="preserve">租約</t>
  </si>
  <si>
    <t xml:space="preserve">zou-joek</t>
  </si>
  <si>
    <t xml:space="preserve">đặt cọc</t>
  </si>
  <si>
    <t xml:space="preserve">deposit</t>
  </si>
  <si>
    <r>
      <rPr>
        <sz val="9"/>
        <color rgb="FF000000"/>
        <rFont val="Noto Sans CJK SC"/>
        <family val="2"/>
      </rPr>
      <t xml:space="preserve">按金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押金</t>
    </r>
  </si>
  <si>
    <t xml:space="preserve">on-gam/aat-gam</t>
  </si>
  <si>
    <t xml:space="preserve">sửa chữa</t>
  </si>
  <si>
    <t xml:space="preserve">to repair / fix</t>
  </si>
  <si>
    <t xml:space="preserve">修理</t>
  </si>
  <si>
    <t xml:space="preserve">sau-lei</t>
  </si>
  <si>
    <t xml:space="preserve">bảo trì</t>
  </si>
  <si>
    <t xml:space="preserve">maintenance</t>
  </si>
  <si>
    <t xml:space="preserve">維修</t>
  </si>
  <si>
    <t xml:space="preserve">wai-sau</t>
  </si>
  <si>
    <t xml:space="preserve">Sino-Viet: bảo trì</t>
  </si>
  <si>
    <t xml:space="preserve">tiện nghi</t>
  </si>
  <si>
    <t xml:space="preserve">amenities / facilities</t>
  </si>
  <si>
    <t xml:space="preserve">設施</t>
  </si>
  <si>
    <t xml:space="preserve">cit-si</t>
  </si>
  <si>
    <t xml:space="preserve">Sino-Viet: tiện nghi</t>
  </si>
  <si>
    <t xml:space="preserve">căn hộ</t>
  </si>
  <si>
    <t xml:space="preserve">apartment</t>
  </si>
  <si>
    <t xml:space="preserve">公寓</t>
  </si>
  <si>
    <t xml:space="preserve">gung-jyu</t>
  </si>
  <si>
    <t xml:space="preserve">Sino-Viet: căn hộ</t>
  </si>
  <si>
    <t xml:space="preserve">chung cư</t>
  </si>
  <si>
    <t xml:space="preserve">apartment block</t>
  </si>
  <si>
    <t xml:space="preserve">公寓大廈</t>
  </si>
  <si>
    <t xml:space="preserve">gung-jyu-daai-haa</t>
  </si>
  <si>
    <t xml:space="preserve">biệt thự</t>
  </si>
  <si>
    <t xml:space="preserve">villa / detached house</t>
  </si>
  <si>
    <t xml:space="preserve">別墅</t>
  </si>
  <si>
    <t xml:space="preserve">bit-syu</t>
  </si>
  <si>
    <t xml:space="preserve">Sino-Viet: biệt thự</t>
  </si>
  <si>
    <t xml:space="preserve">nhà phố</t>
  </si>
  <si>
    <t xml:space="preserve">townhouse</t>
  </si>
  <si>
    <t xml:space="preserve">排屋</t>
  </si>
  <si>
    <t xml:space="preserve">paai-uk</t>
  </si>
  <si>
    <t xml:space="preserve">diện tích</t>
  </si>
  <si>
    <t xml:space="preserve">area / square footage</t>
  </si>
  <si>
    <t xml:space="preserve">面積</t>
  </si>
  <si>
    <t xml:space="preserve">min-zik</t>
  </si>
  <si>
    <t xml:space="preserve">Sino-Viet: diện tích</t>
  </si>
  <si>
    <t xml:space="preserve">tầng trệt</t>
  </si>
  <si>
    <t xml:space="preserve">ground floor</t>
  </si>
  <si>
    <t xml:space="preserve">地下</t>
  </si>
  <si>
    <t xml:space="preserve">dei-haa</t>
  </si>
  <si>
    <t xml:space="preserve">ban công</t>
  </si>
  <si>
    <t xml:space="preserve">balcony</t>
  </si>
  <si>
    <t xml:space="preserve">露台</t>
  </si>
  <si>
    <t xml:space="preserve">lou-toi</t>
  </si>
  <si>
    <t xml:space="preserve">Sino-Viet: ban công</t>
  </si>
  <si>
    <t xml:space="preserve">sân thượng</t>
  </si>
  <si>
    <t xml:space="preserve">rooftop</t>
  </si>
  <si>
    <t xml:space="preserve">天台</t>
  </si>
  <si>
    <t xml:space="preserve">tin-toi</t>
  </si>
  <si>
    <t xml:space="preserve">cổng</t>
  </si>
  <si>
    <t xml:space="preserve">gate</t>
  </si>
  <si>
    <r>
      <rPr>
        <sz val="9"/>
        <color rgb="FF000000"/>
        <rFont val="Noto Sans CJK SC"/>
        <family val="2"/>
      </rPr>
      <t xml:space="preserve">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門</t>
    </r>
  </si>
  <si>
    <t xml:space="preserve">zaat/mun</t>
  </si>
  <si>
    <t xml:space="preserve">hàng xóm</t>
  </si>
  <si>
    <t xml:space="preserve">neighbor</t>
  </si>
  <si>
    <t xml:space="preserve">鄰居</t>
  </si>
  <si>
    <t xml:space="preserve">leon-geoi</t>
  </si>
  <si>
    <t xml:space="preserve">khu dân cư</t>
  </si>
  <si>
    <t xml:space="preserve">residential area</t>
  </si>
  <si>
    <t xml:space="preserve">住宅區</t>
  </si>
  <si>
    <t xml:space="preserve">zyu-zaak-keoi</t>
  </si>
  <si>
    <t xml:space="preserve">ô nhiễm</t>
  </si>
  <si>
    <t xml:space="preserve">pollution</t>
  </si>
  <si>
    <t xml:space="preserve">污染</t>
  </si>
  <si>
    <t xml:space="preserve">wu-jim</t>
  </si>
  <si>
    <t xml:space="preserve">Sino-Viet: ô nhiễm</t>
  </si>
  <si>
    <t xml:space="preserve">biến đổi khí hậu</t>
  </si>
  <si>
    <t xml:space="preserve">climate change</t>
  </si>
  <si>
    <t xml:space="preserve">氣候變化</t>
  </si>
  <si>
    <t xml:space="preserve">hei-hau-bin-faa</t>
  </si>
  <si>
    <t xml:space="preserve">năng lượng</t>
  </si>
  <si>
    <t xml:space="preserve">energy</t>
  </si>
  <si>
    <t xml:space="preserve">能源</t>
  </si>
  <si>
    <t xml:space="preserve">nang-jyun</t>
  </si>
  <si>
    <t xml:space="preserve">Sino-Viet: năng lượng</t>
  </si>
  <si>
    <t xml:space="preserve">năng lượng mặt trời</t>
  </si>
  <si>
    <t xml:space="preserve">solar energy</t>
  </si>
  <si>
    <t xml:space="preserve">太陽能</t>
  </si>
  <si>
    <t xml:space="preserve">taai-joeng-nang</t>
  </si>
  <si>
    <t xml:space="preserve">năng lượng tái tạo</t>
  </si>
  <si>
    <t xml:space="preserve">renewable energy</t>
  </si>
  <si>
    <t xml:space="preserve">可再生能源</t>
  </si>
  <si>
    <t xml:space="preserve">ho-zoi-saang-nang-jyun</t>
  </si>
  <si>
    <t xml:space="preserve">rác thải</t>
  </si>
  <si>
    <t xml:space="preserve">waste / garbage</t>
  </si>
  <si>
    <t xml:space="preserve">垃圾</t>
  </si>
  <si>
    <t xml:space="preserve">laap-saap</t>
  </si>
  <si>
    <t xml:space="preserve">tái chế</t>
  </si>
  <si>
    <t xml:space="preserve">recycling</t>
  </si>
  <si>
    <r>
      <rPr>
        <sz val="9"/>
        <color rgb="FF000000"/>
        <rFont val="Noto Sans CJK SC"/>
        <family val="2"/>
      </rPr>
      <t xml:space="preserve">回收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循環再用</t>
    </r>
  </si>
  <si>
    <t xml:space="preserve">wui-sau/ceon-waan-zoi-jung</t>
  </si>
  <si>
    <t xml:space="preserve">bảo vệ môi trường</t>
  </si>
  <si>
    <t xml:space="preserve">environmental protection</t>
  </si>
  <si>
    <t xml:space="preserve">環境保護</t>
  </si>
  <si>
    <t xml:space="preserve">waan-ging-bou-wu</t>
  </si>
  <si>
    <t xml:space="preserve">phát thải</t>
  </si>
  <si>
    <t xml:space="preserve">emissions</t>
  </si>
  <si>
    <t xml:space="preserve">排放</t>
  </si>
  <si>
    <t xml:space="preserve">paai-fong</t>
  </si>
  <si>
    <t xml:space="preserve">khí thải carbon</t>
  </si>
  <si>
    <t xml:space="preserve">carbon emissions</t>
  </si>
  <si>
    <t xml:space="preserve">碳排放</t>
  </si>
  <si>
    <t xml:space="preserve">taan-paai-fong</t>
  </si>
  <si>
    <t xml:space="preserve">nước thải</t>
  </si>
  <si>
    <t xml:space="preserve">wastewater</t>
  </si>
  <si>
    <t xml:space="preserve">廢水</t>
  </si>
  <si>
    <t xml:space="preserve">fai-seoi</t>
  </si>
  <si>
    <t xml:space="preserve">đa dạng sinh học</t>
  </si>
  <si>
    <t xml:space="preserve">biodiversity</t>
  </si>
  <si>
    <t xml:space="preserve">生物多樣性</t>
  </si>
  <si>
    <t xml:space="preserve">saang-mat-do-joeng-sing</t>
  </si>
  <si>
    <t xml:space="preserve">rừng nhiệt đới</t>
  </si>
  <si>
    <t xml:space="preserve">tropical forest</t>
  </si>
  <si>
    <t xml:space="preserve">熱帶雨林</t>
  </si>
  <si>
    <t xml:space="preserve">jit-daai-jyu-lam</t>
  </si>
  <si>
    <t xml:space="preserve">nạn phá rừng</t>
  </si>
  <si>
    <t xml:space="preserve">deforestation</t>
  </si>
  <si>
    <t xml:space="preserve">濫伐森林</t>
  </si>
  <si>
    <t xml:space="preserve">laam-faat-sam-lam</t>
  </si>
  <si>
    <t xml:space="preserve">bóng đá</t>
  </si>
  <si>
    <t xml:space="preserve">football / soccer</t>
  </si>
  <si>
    <t xml:space="preserve">足球</t>
  </si>
  <si>
    <t xml:space="preserve">zuk-kau</t>
  </si>
  <si>
    <t xml:space="preserve">bóng rổ</t>
  </si>
  <si>
    <t xml:space="preserve">basketball</t>
  </si>
  <si>
    <t xml:space="preserve">籃球</t>
  </si>
  <si>
    <t xml:space="preserve">laam-kau</t>
  </si>
  <si>
    <t xml:space="preserve">bóng chuyền</t>
  </si>
  <si>
    <t xml:space="preserve">volleyball</t>
  </si>
  <si>
    <t xml:space="preserve">排球</t>
  </si>
  <si>
    <t xml:space="preserve">paai-kau</t>
  </si>
  <si>
    <t xml:space="preserve">cầu lông</t>
  </si>
  <si>
    <t xml:space="preserve">badminton</t>
  </si>
  <si>
    <t xml:space="preserve">羽毛球</t>
  </si>
  <si>
    <t xml:space="preserve">jyu-mou-kau</t>
  </si>
  <si>
    <t xml:space="preserve">tennis</t>
  </si>
  <si>
    <t xml:space="preserve">網球</t>
  </si>
  <si>
    <t xml:space="preserve">mong-kau</t>
  </si>
  <si>
    <t xml:space="preserve">bơi lội</t>
  </si>
  <si>
    <t xml:space="preserve">swimming</t>
  </si>
  <si>
    <t xml:space="preserve">chạy bộ</t>
  </si>
  <si>
    <t xml:space="preserve">running / jogging</t>
  </si>
  <si>
    <t xml:space="preserve">跑步</t>
  </si>
  <si>
    <t xml:space="preserve">paau-bou</t>
  </si>
  <si>
    <t xml:space="preserve">leo núi</t>
  </si>
  <si>
    <t xml:space="preserve">mountain climbing</t>
  </si>
  <si>
    <t xml:space="preserve">爬山</t>
  </si>
  <si>
    <t xml:space="preserve">paa-saan</t>
  </si>
  <si>
    <t xml:space="preserve">yoga</t>
  </si>
  <si>
    <t xml:space="preserve">瑜伽</t>
  </si>
  <si>
    <t xml:space="preserve">jyu-gaa</t>
  </si>
  <si>
    <t xml:space="preserve">gym / tập thể hình</t>
  </si>
  <si>
    <t xml:space="preserve">gym / bodybuilding</t>
  </si>
  <si>
    <t xml:space="preserve">健身房</t>
  </si>
  <si>
    <t xml:space="preserve">gin-san-fong</t>
  </si>
  <si>
    <t xml:space="preserve">câu cá</t>
  </si>
  <si>
    <t xml:space="preserve">fishing</t>
  </si>
  <si>
    <t xml:space="preserve">釣魚</t>
  </si>
  <si>
    <t xml:space="preserve">diu-jyu</t>
  </si>
  <si>
    <t xml:space="preserve">cắm trại</t>
  </si>
  <si>
    <t xml:space="preserve">camping</t>
  </si>
  <si>
    <t xml:space="preserve">露營</t>
  </si>
  <si>
    <t xml:space="preserve">lou-jing</t>
  </si>
  <si>
    <t xml:space="preserve">du lịch</t>
  </si>
  <si>
    <t xml:space="preserve">travel / tourism</t>
  </si>
  <si>
    <t xml:space="preserve">旅遊</t>
  </si>
  <si>
    <t xml:space="preserve">leoi-jau</t>
  </si>
  <si>
    <t xml:space="preserve">Sino-Viet: du lịch</t>
  </si>
  <si>
    <t xml:space="preserve">tham quan</t>
  </si>
  <si>
    <t xml:space="preserve">to visit / sightseeing</t>
  </si>
  <si>
    <t xml:space="preserve">參觀</t>
  </si>
  <si>
    <t xml:space="preserve">caam-gun</t>
  </si>
  <si>
    <t xml:space="preserve">Sino-Viet: tham quan</t>
  </si>
  <si>
    <t xml:space="preserve">nghỉ dưỡng</t>
  </si>
  <si>
    <t xml:space="preserve">vacation / resort holiday</t>
  </si>
  <si>
    <t xml:space="preserve">度假</t>
  </si>
  <si>
    <t xml:space="preserve">dou-gaa</t>
  </si>
  <si>
    <t xml:space="preserve">chụp ảnh</t>
  </si>
  <si>
    <t xml:space="preserve">photography / to take photos</t>
  </si>
  <si>
    <t xml:space="preserve">攝影</t>
  </si>
  <si>
    <t xml:space="preserve">sip-jing</t>
  </si>
  <si>
    <t xml:space="preserve">Sino-Viet: chụp ảnh</t>
  </si>
  <si>
    <t xml:space="preserve">hội họa</t>
  </si>
  <si>
    <t xml:space="preserve">painting</t>
  </si>
  <si>
    <t xml:space="preserve">繪畫</t>
  </si>
  <si>
    <t xml:space="preserve">wui-waa</t>
  </si>
  <si>
    <t xml:space="preserve">Sino-Viet: hội họa</t>
  </si>
  <si>
    <t xml:space="preserve">đọc sách</t>
  </si>
  <si>
    <t xml:space="preserve">reading books</t>
  </si>
  <si>
    <t xml:space="preserve">讀書</t>
  </si>
  <si>
    <t xml:space="preserve">duk-syu</t>
  </si>
  <si>
    <t xml:space="preserve">cooking (as hobby)</t>
  </si>
  <si>
    <t xml:space="preserve">烹飪</t>
  </si>
  <si>
    <t xml:space="preserve">pang-jam</t>
  </si>
  <si>
    <t xml:space="preserve">làm vườn</t>
  </si>
  <si>
    <t xml:space="preserve">gardening</t>
  </si>
  <si>
    <r>
      <rPr>
        <sz val="9"/>
        <color rgb="FF000000"/>
        <rFont val="Noto Sans CJK SC"/>
        <family val="2"/>
      </rPr>
      <t xml:space="preserve">種花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園藝</t>
    </r>
  </si>
  <si>
    <t xml:space="preserve">zung-faa/jyun-ngai</t>
  </si>
  <si>
    <t xml:space="preserve">vẽ</t>
  </si>
  <si>
    <t xml:space="preserve">to draw / paint</t>
  </si>
  <si>
    <t xml:space="preserve">畫</t>
  </si>
  <si>
    <t xml:space="preserve">waa</t>
  </si>
  <si>
    <t xml:space="preserve">đan</t>
  </si>
  <si>
    <t xml:space="preserve">to knit</t>
  </si>
  <si>
    <t xml:space="preserve">織</t>
  </si>
  <si>
    <t xml:space="preserve">cờ vua</t>
  </si>
  <si>
    <t xml:space="preserve">chess (international)</t>
  </si>
  <si>
    <t xml:space="preserve">國際象棋</t>
  </si>
  <si>
    <t xml:space="preserve">gwok-zai-zoeng-kei</t>
  </si>
  <si>
    <t xml:space="preserve">cờ tướng</t>
  </si>
  <si>
    <t xml:space="preserve">Chinese chess</t>
  </si>
  <si>
    <t xml:space="preserve">象棋</t>
  </si>
  <si>
    <t xml:space="preserve">zoeng-kei</t>
  </si>
  <si>
    <t xml:space="preserve">đặt phòng</t>
  </si>
  <si>
    <t xml:space="preserve">to book a room</t>
  </si>
  <si>
    <t xml:space="preserve">訂房</t>
  </si>
  <si>
    <t xml:space="preserve">ding-fong</t>
  </si>
  <si>
    <t xml:space="preserve">đặt vé</t>
  </si>
  <si>
    <t xml:space="preserve">to book tickets</t>
  </si>
  <si>
    <t xml:space="preserve">訂票</t>
  </si>
  <si>
    <t xml:space="preserve">ding-piu</t>
  </si>
  <si>
    <t xml:space="preserve">chuyến bay</t>
  </si>
  <si>
    <t xml:space="preserve">flight</t>
  </si>
  <si>
    <t xml:space="preserve">航班</t>
  </si>
  <si>
    <t xml:space="preserve">hong-baan</t>
  </si>
  <si>
    <t xml:space="preserve">Sino-Viet: chuyến bay</t>
  </si>
  <si>
    <t xml:space="preserve">hành trình</t>
  </si>
  <si>
    <t xml:space="preserve">journey / itinerary</t>
  </si>
  <si>
    <t xml:space="preserve">行程</t>
  </si>
  <si>
    <t xml:space="preserve">haang-cing</t>
  </si>
  <si>
    <t xml:space="preserve">Sino-Viet: hành trình</t>
  </si>
  <si>
    <t xml:space="preserve">điểm đến</t>
  </si>
  <si>
    <t xml:space="preserve">destination</t>
  </si>
  <si>
    <t xml:space="preserve">目的地</t>
  </si>
  <si>
    <t xml:space="preserve">muk-dik-dei</t>
  </si>
  <si>
    <t xml:space="preserve">sightseeing</t>
  </si>
  <si>
    <t xml:space="preserve">觀光</t>
  </si>
  <si>
    <t xml:space="preserve">gun-gwong</t>
  </si>
  <si>
    <t xml:space="preserve">bản đồ du lịch</t>
  </si>
  <si>
    <t xml:space="preserve">tourist map</t>
  </si>
  <si>
    <t xml:space="preserve">旅遊地圖</t>
  </si>
  <si>
    <t xml:space="preserve">leoi-jau-dei-tou</t>
  </si>
  <si>
    <t xml:space="preserve">hướng dẫn viên</t>
  </si>
  <si>
    <t xml:space="preserve">tour guide</t>
  </si>
  <si>
    <t xml:space="preserve">導遊</t>
  </si>
  <si>
    <t xml:space="preserve">dou-jau</t>
  </si>
  <si>
    <t xml:space="preserve">Sino-Viet: hướng dẫn viên</t>
  </si>
  <si>
    <t xml:space="preserve">khách sạn 5 sao</t>
  </si>
  <si>
    <t xml:space="preserve">5-star hotel</t>
  </si>
  <si>
    <t xml:space="preserve">五星酒店</t>
  </si>
  <si>
    <t xml:space="preserve">ng-sing-zau-dim</t>
  </si>
  <si>
    <t xml:space="preserve">nhà nghỉ</t>
  </si>
  <si>
    <t xml:space="preserve">guesthouse</t>
  </si>
  <si>
    <r>
      <rPr>
        <sz val="9"/>
        <color rgb="FF000000"/>
        <rFont val="Noto Sans CJK SC"/>
        <family val="2"/>
      </rPr>
      <t xml:space="preserve">旅館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招待所</t>
    </r>
  </si>
  <si>
    <t xml:space="preserve">leoi-gun/ziu-doi-so</t>
  </si>
  <si>
    <t xml:space="preserve">ký túc xá</t>
  </si>
  <si>
    <t xml:space="preserve">dormitory / hostel</t>
  </si>
  <si>
    <t xml:space="preserve">宿舍</t>
  </si>
  <si>
    <t xml:space="preserve">suk-se</t>
  </si>
  <si>
    <t xml:space="preserve">hải quan</t>
  </si>
  <si>
    <t xml:space="preserve">customs</t>
  </si>
  <si>
    <t xml:space="preserve">海關</t>
  </si>
  <si>
    <t xml:space="preserve">hoi-gwaan</t>
  </si>
  <si>
    <t xml:space="preserve">Sino-Viet: hải quan</t>
  </si>
  <si>
    <t xml:space="preserve">xuất nhập cảnh</t>
  </si>
  <si>
    <t xml:space="preserve">immigration</t>
  </si>
  <si>
    <t xml:space="preserve">出入境</t>
  </si>
  <si>
    <t xml:space="preserve">ceot-jap-ging</t>
  </si>
  <si>
    <t xml:space="preserve">khai báo</t>
  </si>
  <si>
    <t xml:space="preserve">to declare (customs)</t>
  </si>
  <si>
    <t xml:space="preserve">申報</t>
  </si>
  <si>
    <t xml:space="preserve">san-bou</t>
  </si>
  <si>
    <t xml:space="preserve">đổi tiền</t>
  </si>
  <si>
    <t xml:space="preserve">currency exchange</t>
  </si>
  <si>
    <t xml:space="preserve">兌換貨幣</t>
  </si>
  <si>
    <t xml:space="preserve">deoi-wun-fo-bai</t>
  </si>
  <si>
    <t xml:space="preserve">quà lưu niệm</t>
  </si>
  <si>
    <t xml:space="preserve">souvenir</t>
  </si>
  <si>
    <t xml:space="preserve">紀念品</t>
  </si>
  <si>
    <t xml:space="preserve">gei-nim-ban</t>
  </si>
  <si>
    <t xml:space="preserve">Sino-Viet: lưu niệm</t>
  </si>
  <si>
    <t xml:space="preserve">di tích</t>
  </si>
  <si>
    <t xml:space="preserve">historic site / relic</t>
  </si>
  <si>
    <r>
      <rPr>
        <sz val="9"/>
        <color rgb="FF000000"/>
        <rFont val="Noto Sans CJK SC"/>
        <family val="2"/>
      </rPr>
      <t xml:space="preserve">遺址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古蹟</t>
    </r>
  </si>
  <si>
    <t xml:space="preserve">wai-zi/gu-zik</t>
  </si>
  <si>
    <t xml:space="preserve">Sino-Viet: di tích</t>
  </si>
  <si>
    <t xml:space="preserve">bảo tàng</t>
  </si>
  <si>
    <t xml:space="preserve">museum</t>
  </si>
  <si>
    <t xml:space="preserve">博物館</t>
  </si>
  <si>
    <t xml:space="preserve">bok-mat-gun</t>
  </si>
  <si>
    <t xml:space="preserve">Sino-Viet: bảo tàng</t>
  </si>
  <si>
    <t xml:space="preserve">triển lãm</t>
  </si>
  <si>
    <t xml:space="preserve">exhibition</t>
  </si>
  <si>
    <t xml:space="preserve">展覽</t>
  </si>
  <si>
    <t xml:space="preserve">zin-laam</t>
  </si>
  <si>
    <t xml:space="preserve">Sino-Viet: triển lãm</t>
  </si>
  <si>
    <t xml:space="preserve">công viên quốc gia</t>
  </si>
  <si>
    <t xml:space="preserve">national park</t>
  </si>
  <si>
    <t xml:space="preserve">國家公園</t>
  </si>
  <si>
    <t xml:space="preserve">gwok-gaa-gung-jyun</t>
  </si>
  <si>
    <t xml:space="preserve">quan hệ</t>
  </si>
  <si>
    <t xml:space="preserve">relationship</t>
  </si>
  <si>
    <t xml:space="preserve">關係</t>
  </si>
  <si>
    <t xml:space="preserve">gwaan-hai</t>
  </si>
  <si>
    <t xml:space="preserve">Sino-Viet: quan hệ</t>
  </si>
  <si>
    <t xml:space="preserve">love / romance</t>
  </si>
  <si>
    <t xml:space="preserve">hẹn hò</t>
  </si>
  <si>
    <t xml:space="preserve">to date / go on a date</t>
  </si>
  <si>
    <t xml:space="preserve">約會</t>
  </si>
  <si>
    <t xml:space="preserve">joek-wui</t>
  </si>
  <si>
    <t xml:space="preserve">người yêu</t>
  </si>
  <si>
    <t xml:space="preserve">boyfriend / girlfriend</t>
  </si>
  <si>
    <t xml:space="preserve">男女朋友</t>
  </si>
  <si>
    <t xml:space="preserve">naam-neoi-pang-jau</t>
  </si>
  <si>
    <t xml:space="preserve">kết hôn</t>
  </si>
  <si>
    <t xml:space="preserve">to get married</t>
  </si>
  <si>
    <t xml:space="preserve">結婚</t>
  </si>
  <si>
    <t xml:space="preserve">git-fan</t>
  </si>
  <si>
    <t xml:space="preserve">Sino-Viet: kết hôn</t>
  </si>
  <si>
    <t xml:space="preserve">đám cưới</t>
  </si>
  <si>
    <t xml:space="preserve">wedding</t>
  </si>
  <si>
    <t xml:space="preserve">婚禮</t>
  </si>
  <si>
    <t xml:space="preserve">fan-lai</t>
  </si>
  <si>
    <t xml:space="preserve">ly hôn</t>
  </si>
  <si>
    <t xml:space="preserve">divorce</t>
  </si>
  <si>
    <t xml:space="preserve">離婚</t>
  </si>
  <si>
    <t xml:space="preserve">lei-fan</t>
  </si>
  <si>
    <t xml:space="preserve">Sino-Viet: ly hôn</t>
  </si>
  <si>
    <t xml:space="preserve">góa</t>
  </si>
  <si>
    <t xml:space="preserve">widowed</t>
  </si>
  <si>
    <r>
      <rPr>
        <sz val="9"/>
        <color rgb="FF000000"/>
        <rFont val="Noto Sans CJK SC"/>
        <family val="2"/>
      </rPr>
      <t xml:space="preserve">喪偶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寡</t>
    </r>
  </si>
  <si>
    <t xml:space="preserve">song-ngau/gwaa</t>
  </si>
  <si>
    <t xml:space="preserve">độc thân</t>
  </si>
  <si>
    <t xml:space="preserve">single</t>
  </si>
  <si>
    <t xml:space="preserve">單身</t>
  </si>
  <si>
    <t xml:space="preserve">daan-san</t>
  </si>
  <si>
    <t xml:space="preserve">Sino-Viet: độc thân</t>
  </si>
  <si>
    <t xml:space="preserve">mang thai</t>
  </si>
  <si>
    <t xml:space="preserve">pregnant</t>
  </si>
  <si>
    <t xml:space="preserve">懷孕</t>
  </si>
  <si>
    <t xml:space="preserve">waai-jan</t>
  </si>
  <si>
    <t xml:space="preserve">sinh con</t>
  </si>
  <si>
    <t xml:space="preserve">to give birth</t>
  </si>
  <si>
    <t xml:space="preserve">生孩子</t>
  </si>
  <si>
    <t xml:space="preserve">saang-haai-zi</t>
  </si>
  <si>
    <t xml:space="preserve">nuôi dạy con</t>
  </si>
  <si>
    <t xml:space="preserve">to raise children</t>
  </si>
  <si>
    <t xml:space="preserve">養育子女</t>
  </si>
  <si>
    <t xml:space="preserve">joeng-juk-zi-neoi</t>
  </si>
  <si>
    <t xml:space="preserve">họ hàng</t>
  </si>
  <si>
    <t xml:space="preserve">relatives</t>
  </si>
  <si>
    <t xml:space="preserve">親戚</t>
  </si>
  <si>
    <t xml:space="preserve">can-cik</t>
  </si>
  <si>
    <t xml:space="preserve">ông bà</t>
  </si>
  <si>
    <t xml:space="preserve">grandparents</t>
  </si>
  <si>
    <t xml:space="preserve">祖父母</t>
  </si>
  <si>
    <t xml:space="preserve">zo-fu-mou</t>
  </si>
  <si>
    <t xml:space="preserve">ông nội / ông ngoại</t>
  </si>
  <si>
    <t xml:space="preserve">paternal/maternal grandfather</t>
  </si>
  <si>
    <r>
      <rPr>
        <sz val="9"/>
        <color rgb="FF000000"/>
        <rFont val="Noto Sans CJK SC"/>
        <family val="2"/>
      </rPr>
      <t xml:space="preserve">爺爺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外公</t>
    </r>
  </si>
  <si>
    <t xml:space="preserve">je-je/ngoi-gung</t>
  </si>
  <si>
    <t xml:space="preserve">bà nội / bà ngoại</t>
  </si>
  <si>
    <t xml:space="preserve">paternal/maternal grandmother</t>
  </si>
  <si>
    <r>
      <rPr>
        <sz val="9"/>
        <color rgb="FF000000"/>
        <rFont val="Noto Sans CJK SC"/>
        <family val="2"/>
      </rPr>
      <t xml:space="preserve">奶奶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外婆</t>
    </r>
  </si>
  <si>
    <t xml:space="preserve">naai-naai/ngoi-po</t>
  </si>
  <si>
    <t xml:space="preserve">dì</t>
  </si>
  <si>
    <t xml:space="preserve">maternal aunt</t>
  </si>
  <si>
    <t xml:space="preserve">阿姨</t>
  </si>
  <si>
    <t xml:space="preserve">aa-ji</t>
  </si>
  <si>
    <t xml:space="preserve">paternal aunt</t>
  </si>
  <si>
    <t xml:space="preserve">姑姑</t>
  </si>
  <si>
    <t xml:space="preserve">gu-gu</t>
  </si>
  <si>
    <t xml:space="preserve">bác</t>
  </si>
  <si>
    <t xml:space="preserve">older uncle/aunt</t>
  </si>
  <si>
    <r>
      <rPr>
        <sz val="9"/>
        <color rgb="FF000000"/>
        <rFont val="Noto Sans CJK SC"/>
        <family val="2"/>
      </rPr>
      <t xml:space="preserve">伯父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伯母</t>
    </r>
  </si>
  <si>
    <t xml:space="preserve">baak-fu/baak-mou</t>
  </si>
  <si>
    <t xml:space="preserve">tin tưởng nhau</t>
  </si>
  <si>
    <t xml:space="preserve">to trust each other</t>
  </si>
  <si>
    <t xml:space="preserve">互相信任</t>
  </si>
  <si>
    <t xml:space="preserve">wu-soeng-seon-jam</t>
  </si>
  <si>
    <t xml:space="preserve">quan tâm</t>
  </si>
  <si>
    <t xml:space="preserve">to care about</t>
  </si>
  <si>
    <t xml:space="preserve">關心</t>
  </si>
  <si>
    <t xml:space="preserve">gwaan-sam</t>
  </si>
  <si>
    <t xml:space="preserve">Sino-Viet: quan tâm</t>
  </si>
  <si>
    <t xml:space="preserve">ủng hộ</t>
  </si>
  <si>
    <t xml:space="preserve">to support</t>
  </si>
  <si>
    <t xml:space="preserve">支持</t>
  </si>
  <si>
    <t xml:space="preserve">zi-ci</t>
  </si>
  <si>
    <t xml:space="preserve">Sino-Viet: ủng hộ</t>
  </si>
  <si>
    <t xml:space="preserve">mâu thuẫn</t>
  </si>
  <si>
    <t xml:space="preserve">conflict</t>
  </si>
  <si>
    <t xml:space="preserve">矛盾</t>
  </si>
  <si>
    <t xml:space="preserve">maau-teon</t>
  </si>
  <si>
    <t xml:space="preserve">Sino-Viet: mâu thuẫn</t>
  </si>
  <si>
    <t xml:space="preserve">hòa giải</t>
  </si>
  <si>
    <t xml:space="preserve">to reconcile</t>
  </si>
  <si>
    <t xml:space="preserve">和解</t>
  </si>
  <si>
    <t xml:space="preserve">wo-gaai</t>
  </si>
  <si>
    <t xml:space="preserve">Sino-Viet: hòa giải</t>
  </si>
  <si>
    <t xml:space="preserve">truyền thông</t>
  </si>
  <si>
    <t xml:space="preserve">media</t>
  </si>
  <si>
    <t xml:space="preserve">傳媒</t>
  </si>
  <si>
    <t xml:space="preserve">cyun-mui</t>
  </si>
  <si>
    <t xml:space="preserve">Sino-Viet: truyền thông</t>
  </si>
  <si>
    <t xml:space="preserve">đài truyền hình</t>
  </si>
  <si>
    <t xml:space="preserve">television station</t>
  </si>
  <si>
    <t xml:space="preserve">電視台</t>
  </si>
  <si>
    <t xml:space="preserve">din-si-toi</t>
  </si>
  <si>
    <t xml:space="preserve">đài phát thanh</t>
  </si>
  <si>
    <t xml:space="preserve">radio station</t>
  </si>
  <si>
    <t xml:space="preserve">廣播電台</t>
  </si>
  <si>
    <t xml:space="preserve">gwong-bo-din-toi</t>
  </si>
  <si>
    <t xml:space="preserve">báo chí</t>
  </si>
  <si>
    <t xml:space="preserve">journalism / press</t>
  </si>
  <si>
    <r>
      <rPr>
        <sz val="9"/>
        <color rgb="FF000000"/>
        <rFont val="Noto Sans CJK SC"/>
        <family val="2"/>
      </rPr>
      <t xml:space="preserve">新聞業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報界</t>
    </r>
  </si>
  <si>
    <t xml:space="preserve">san-man-jip/bou-gaai</t>
  </si>
  <si>
    <t xml:space="preserve">phóng viên</t>
  </si>
  <si>
    <t xml:space="preserve">journalist / reporter</t>
  </si>
  <si>
    <t xml:space="preserve">記者</t>
  </si>
  <si>
    <t xml:space="preserve">gei-ze</t>
  </si>
  <si>
    <t xml:space="preserve">Sino-Viet: phóng viên</t>
  </si>
  <si>
    <t xml:space="preserve">bình luận</t>
  </si>
  <si>
    <t xml:space="preserve">commentary / comment</t>
  </si>
  <si>
    <t xml:space="preserve">評論</t>
  </si>
  <si>
    <t xml:space="preserve">ping-leon</t>
  </si>
  <si>
    <t xml:space="preserve">Sino-Viet: bình luận</t>
  </si>
  <si>
    <t xml:space="preserve">phim</t>
  </si>
  <si>
    <t xml:space="preserve">film / movie</t>
  </si>
  <si>
    <t xml:space="preserve">phim truyền hình</t>
  </si>
  <si>
    <t xml:space="preserve">TV series / drama</t>
  </si>
  <si>
    <t xml:space="preserve">電視劇</t>
  </si>
  <si>
    <t xml:space="preserve">din-si-kek</t>
  </si>
  <si>
    <t xml:space="preserve">diễn viên</t>
  </si>
  <si>
    <t xml:space="preserve">actor / actress</t>
  </si>
  <si>
    <t xml:space="preserve">演員</t>
  </si>
  <si>
    <t xml:space="preserve">jin-jyun</t>
  </si>
  <si>
    <t xml:space="preserve">Sino-Viet: diễn viên</t>
  </si>
  <si>
    <t xml:space="preserve">đạo diễn</t>
  </si>
  <si>
    <t xml:space="preserve">director (film)</t>
  </si>
  <si>
    <t xml:space="preserve">導演</t>
  </si>
  <si>
    <t xml:space="preserve">dou-jin</t>
  </si>
  <si>
    <t xml:space="preserve">Sino-Viet: đạo diễn</t>
  </si>
  <si>
    <t xml:space="preserve">ca sĩ</t>
  </si>
  <si>
    <t xml:space="preserve">singer</t>
  </si>
  <si>
    <t xml:space="preserve">歌手</t>
  </si>
  <si>
    <t xml:space="preserve">go-sau</t>
  </si>
  <si>
    <t xml:space="preserve">Sino-Viet: ca sĩ</t>
  </si>
  <si>
    <t xml:space="preserve">ban nhạc</t>
  </si>
  <si>
    <t xml:space="preserve">band / music group</t>
  </si>
  <si>
    <t xml:space="preserve">樂隊</t>
  </si>
  <si>
    <t xml:space="preserve">ngok-deoi</t>
  </si>
  <si>
    <t xml:space="preserve">buổi hòa nhạc</t>
  </si>
  <si>
    <t xml:space="preserve">concert</t>
  </si>
  <si>
    <t xml:space="preserve">音樂會</t>
  </si>
  <si>
    <t xml:space="preserve">jam-ngok-wui</t>
  </si>
  <si>
    <t xml:space="preserve">rạp chiếu phim</t>
  </si>
  <si>
    <t xml:space="preserve">cinema / movie theater</t>
  </si>
  <si>
    <r>
      <rPr>
        <sz val="9"/>
        <color rgb="FF000000"/>
        <rFont val="Noto Sans CJK SC"/>
        <family val="2"/>
      </rPr>
      <t xml:space="preserve">戲院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電影院</t>
    </r>
  </si>
  <si>
    <t xml:space="preserve">hei-jyun/din-jing-jyun</t>
  </si>
  <si>
    <t xml:space="preserve">nhà hát</t>
  </si>
  <si>
    <t xml:space="preserve">theater / opera house</t>
  </si>
  <si>
    <t xml:space="preserve">劇院</t>
  </si>
  <si>
    <t xml:space="preserve">kek-jyun</t>
  </si>
  <si>
    <t xml:space="preserve">Sino-Viet: nhà hát</t>
  </si>
  <si>
    <t xml:space="preserve">kịch</t>
  </si>
  <si>
    <t xml:space="preserve">play / drama (theater)</t>
  </si>
  <si>
    <t xml:space="preserve">戲劇</t>
  </si>
  <si>
    <t xml:space="preserve">hei-kek</t>
  </si>
  <si>
    <t xml:space="preserve">Sino-Viet: kịch</t>
  </si>
  <si>
    <t xml:space="preserve">podcast</t>
  </si>
  <si>
    <t xml:space="preserve">播客</t>
  </si>
  <si>
    <t xml:space="preserve">bo-haak</t>
  </si>
  <si>
    <t xml:space="preserve">kênh</t>
  </si>
  <si>
    <t xml:space="preserve">channel</t>
  </si>
  <si>
    <t xml:space="preserve">頻道</t>
  </si>
  <si>
    <t xml:space="preserve">pan-dou</t>
  </si>
  <si>
    <t xml:space="preserve">Sino-Viet: kênh</t>
  </si>
  <si>
    <t xml:space="preserve">đăng ký</t>
  </si>
  <si>
    <t xml:space="preserve">to subscribe</t>
  </si>
  <si>
    <t xml:space="preserve">訂閱</t>
  </si>
  <si>
    <t xml:space="preserve">ding-jyut</t>
  </si>
  <si>
    <t xml:space="preserve">Sino-Viet: đăng ký</t>
  </si>
  <si>
    <t xml:space="preserve">chia sẻ</t>
  </si>
  <si>
    <t xml:space="preserve">to share</t>
  </si>
  <si>
    <t xml:space="preserve">分享</t>
  </si>
  <si>
    <t xml:space="preserve">fan-hoeng</t>
  </si>
  <si>
    <t xml:space="preserve">to comment</t>
  </si>
  <si>
    <t xml:space="preserve">nổi tiếng</t>
  </si>
  <si>
    <t xml:space="preserve">famous / popular</t>
  </si>
  <si>
    <r>
      <rPr>
        <sz val="9"/>
        <color rgb="FF000000"/>
        <rFont val="Noto Sans CJK SC"/>
        <family val="2"/>
      </rPr>
      <t xml:space="preserve">出名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著名</t>
    </r>
  </si>
  <si>
    <t xml:space="preserve">ceot-meng/zyu-meng</t>
  </si>
  <si>
    <t xml:space="preserve">xu hướng</t>
  </si>
  <si>
    <t xml:space="preserve">trend</t>
  </si>
  <si>
    <t xml:space="preserve">趨勢</t>
  </si>
  <si>
    <t xml:space="preserve">ceoi-sai</t>
  </si>
  <si>
    <t xml:space="preserve">Sino-Viet: xu hướng</t>
  </si>
  <si>
    <t xml:space="preserve">trí tuệ nhân tạo</t>
  </si>
  <si>
    <t xml:space="preserve">artificial intelligence</t>
  </si>
  <si>
    <t xml:space="preserve">人工智能</t>
  </si>
  <si>
    <t xml:space="preserve">jan-gung-zi-nang</t>
  </si>
  <si>
    <t xml:space="preserve">Sino-Viet: AI</t>
  </si>
  <si>
    <t xml:space="preserve">máy học</t>
  </si>
  <si>
    <t xml:space="preserve">machine learning</t>
  </si>
  <si>
    <t xml:space="preserve">機器學習</t>
  </si>
  <si>
    <t xml:space="preserve">gei-hei-hok-zaap</t>
  </si>
  <si>
    <t xml:space="preserve">dữ liệu</t>
  </si>
  <si>
    <t xml:space="preserve">data</t>
  </si>
  <si>
    <r>
      <rPr>
        <sz val="9"/>
        <color rgb="FF000000"/>
        <rFont val="Noto Sans CJK SC"/>
        <family val="2"/>
      </rPr>
      <t xml:space="preserve">數據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資料</t>
    </r>
  </si>
  <si>
    <t xml:space="preserve">sou-geoi/zi-liu</t>
  </si>
  <si>
    <t xml:space="preserve">Sino-Viet: dữ liệu</t>
  </si>
  <si>
    <t xml:space="preserve">điện toán đám mây</t>
  </si>
  <si>
    <t xml:space="preserve">cloud computing</t>
  </si>
  <si>
    <t xml:space="preserve">雲端計算</t>
  </si>
  <si>
    <t xml:space="preserve">wan-dyun-gai-syun</t>
  </si>
  <si>
    <t xml:space="preserve">bảo mật</t>
  </si>
  <si>
    <t xml:space="preserve">security / cybersecurity</t>
  </si>
  <si>
    <r>
      <rPr>
        <sz val="9"/>
        <color rgb="FF000000"/>
        <rFont val="Noto Sans CJK SC"/>
        <family val="2"/>
      </rPr>
      <t xml:space="preserve">保安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網絡安全</t>
    </r>
  </si>
  <si>
    <t xml:space="preserve">bou-on/mong-lok-on-cyun</t>
  </si>
  <si>
    <t xml:space="preserve">Sino-Viet: bảo mật</t>
  </si>
  <si>
    <t xml:space="preserve">mã hóa</t>
  </si>
  <si>
    <t xml:space="preserve">encryption</t>
  </si>
  <si>
    <t xml:space="preserve">加密</t>
  </si>
  <si>
    <t xml:space="preserve">gaa-mat</t>
  </si>
  <si>
    <t xml:space="preserve">Sino-Viet: mã hóa</t>
  </si>
  <si>
    <t xml:space="preserve">lập trình</t>
  </si>
  <si>
    <t xml:space="preserve">programming / coding</t>
  </si>
  <si>
    <t xml:space="preserve">編程</t>
  </si>
  <si>
    <t xml:space="preserve">pin-cing</t>
  </si>
  <si>
    <t xml:space="preserve">Sino-Viet: lập trình</t>
  </si>
  <si>
    <t xml:space="preserve">phần mềm</t>
  </si>
  <si>
    <t xml:space="preserve">software</t>
  </si>
  <si>
    <t xml:space="preserve">軟件</t>
  </si>
  <si>
    <t xml:space="preserve">jyun-gin</t>
  </si>
  <si>
    <t xml:space="preserve">phần cứng</t>
  </si>
  <si>
    <t xml:space="preserve">hardware</t>
  </si>
  <si>
    <t xml:space="preserve">硬件</t>
  </si>
  <si>
    <t xml:space="preserve">ngaang-gin</t>
  </si>
  <si>
    <t xml:space="preserve">cơ sở dữ liệu</t>
  </si>
  <si>
    <t xml:space="preserve">database</t>
  </si>
  <si>
    <t xml:space="preserve">數據庫</t>
  </si>
  <si>
    <t xml:space="preserve">sou-geoi-fu</t>
  </si>
  <si>
    <t xml:space="preserve">giao diện</t>
  </si>
  <si>
    <t xml:space="preserve">interface</t>
  </si>
  <si>
    <t xml:space="preserve">介面</t>
  </si>
  <si>
    <t xml:space="preserve">gaai-min</t>
  </si>
  <si>
    <t xml:space="preserve">Sino-Viet: giao diện</t>
  </si>
  <si>
    <t xml:space="preserve">máy chủ</t>
  </si>
  <si>
    <t xml:space="preserve">server</t>
  </si>
  <si>
    <r>
      <rPr>
        <sz val="9"/>
        <color rgb="FF000000"/>
        <rFont val="Noto Sans CJK SC"/>
        <family val="2"/>
      </rPr>
      <t xml:space="preserve">伺服器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服務器</t>
    </r>
  </si>
  <si>
    <t xml:space="preserve">ci-fuk-hei/fuk-mou-hei</t>
  </si>
  <si>
    <t xml:space="preserve">mạng nội bộ</t>
  </si>
  <si>
    <t xml:space="preserve">intranet / local network</t>
  </si>
  <si>
    <t xml:space="preserve">內部網絡</t>
  </si>
  <si>
    <t xml:space="preserve">noi-bou-mong-lok</t>
  </si>
  <si>
    <t xml:space="preserve">tải lên</t>
  </si>
  <si>
    <t xml:space="preserve">to upload</t>
  </si>
  <si>
    <t xml:space="preserve">上傳</t>
  </si>
  <si>
    <t xml:space="preserve">soeng-cyun</t>
  </si>
  <si>
    <t xml:space="preserve">sao lưu</t>
  </si>
  <si>
    <t xml:space="preserve">to back up</t>
  </si>
  <si>
    <t xml:space="preserve">備份</t>
  </si>
  <si>
    <t xml:space="preserve">bei-fan</t>
  </si>
  <si>
    <t xml:space="preserve">lỗi</t>
  </si>
  <si>
    <t xml:space="preserve">error / bug</t>
  </si>
  <si>
    <r>
      <rPr>
        <sz val="9"/>
        <color rgb="FF000000"/>
        <rFont val="Noto Sans CJK SC"/>
        <family val="2"/>
      </rPr>
      <t xml:space="preserve">錯誤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漏洞</t>
    </r>
  </si>
  <si>
    <t xml:space="preserve">co-ng/lau-dung</t>
  </si>
  <si>
    <t xml:space="preserve">cập nhật hệ thống</t>
  </si>
  <si>
    <t xml:space="preserve">system update</t>
  </si>
  <si>
    <t xml:space="preserve">系統更新</t>
  </si>
  <si>
    <t xml:space="preserve">hai-tung-gang-san</t>
  </si>
  <si>
    <t xml:space="preserve">ứng dụng di động</t>
  </si>
  <si>
    <t xml:space="preserve">mobile app</t>
  </si>
  <si>
    <t xml:space="preserve">手機應用</t>
  </si>
  <si>
    <t xml:space="preserve">sau-gei-jing-jung</t>
  </si>
  <si>
    <t xml:space="preserve">thực tế ảo</t>
  </si>
  <si>
    <t xml:space="preserve">virtual reality (VR)</t>
  </si>
  <si>
    <t xml:space="preserve">虛擬現實</t>
  </si>
  <si>
    <t xml:space="preserve">heoi-ngai-jin-sat</t>
  </si>
  <si>
    <t xml:space="preserve">thực tế tăng cường</t>
  </si>
  <si>
    <t xml:space="preserve">augmented reality (AR)</t>
  </si>
  <si>
    <t xml:space="preserve">擴增現實</t>
  </si>
  <si>
    <t xml:space="preserve">kwong-zang-jin-sat</t>
  </si>
  <si>
    <t xml:space="preserve">chuỗi khối</t>
  </si>
  <si>
    <t xml:space="preserve">blockchain</t>
  </si>
  <si>
    <t xml:space="preserve">區塊鏈</t>
  </si>
  <si>
    <t xml:space="preserve">keoi-faai-lin</t>
  </si>
  <si>
    <t xml:space="preserve">tiền kỹ thuật số</t>
  </si>
  <si>
    <t xml:space="preserve">cryptocurrency</t>
  </si>
  <si>
    <t xml:space="preserve">加密貨幣</t>
  </si>
  <si>
    <t xml:space="preserve">gaa-mat-fo-bai</t>
  </si>
  <si>
    <t xml:space="preserve">khoa học</t>
  </si>
  <si>
    <t xml:space="preserve">science</t>
  </si>
  <si>
    <t xml:space="preserve">科學</t>
  </si>
  <si>
    <t xml:space="preserve">fo-hok</t>
  </si>
  <si>
    <t xml:space="preserve">Sino-Viet: khoa học</t>
  </si>
  <si>
    <t xml:space="preserve">thí nghiệm</t>
  </si>
  <si>
    <t xml:space="preserve">experiment</t>
  </si>
  <si>
    <t xml:space="preserve">實驗</t>
  </si>
  <si>
    <t xml:space="preserve">sat-jim</t>
  </si>
  <si>
    <t xml:space="preserve">Sino-Viet: thí nghiệm</t>
  </si>
  <si>
    <t xml:space="preserve">phát minh</t>
  </si>
  <si>
    <t xml:space="preserve">invention</t>
  </si>
  <si>
    <t xml:space="preserve">發明</t>
  </si>
  <si>
    <t xml:space="preserve">faat-ming</t>
  </si>
  <si>
    <t xml:space="preserve">Sino-Viet: phát minh</t>
  </si>
  <si>
    <t xml:space="preserve">khám phá</t>
  </si>
  <si>
    <t xml:space="preserve">discovery</t>
  </si>
  <si>
    <r>
      <rPr>
        <sz val="9"/>
        <color rgb="FF000000"/>
        <rFont val="Noto Sans CJK SC"/>
        <family val="2"/>
      </rPr>
      <t xml:space="preserve">發現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探索</t>
    </r>
  </si>
  <si>
    <t xml:space="preserve">faat-jin/taam-sok</t>
  </si>
  <si>
    <t xml:space="preserve">lý thuyết</t>
  </si>
  <si>
    <t xml:space="preserve">theory</t>
  </si>
  <si>
    <t xml:space="preserve">理論</t>
  </si>
  <si>
    <t xml:space="preserve">lei-leon</t>
  </si>
  <si>
    <t xml:space="preserve">Sino-Viet: lý thuyết</t>
  </si>
  <si>
    <t xml:space="preserve">giả thuyết</t>
  </si>
  <si>
    <t xml:space="preserve">hypothesis</t>
  </si>
  <si>
    <t xml:space="preserve">假設</t>
  </si>
  <si>
    <t xml:space="preserve">gaa-cit</t>
  </si>
  <si>
    <t xml:space="preserve">Sino-Viet: giả thuyết</t>
  </si>
  <si>
    <t xml:space="preserve">phân tích</t>
  </si>
  <si>
    <t xml:space="preserve">analysis</t>
  </si>
  <si>
    <t xml:space="preserve">分析</t>
  </si>
  <si>
    <t xml:space="preserve">fan-sik</t>
  </si>
  <si>
    <t xml:space="preserve">Sino-Viet: phân tích</t>
  </si>
  <si>
    <t xml:space="preserve">tổng hợp</t>
  </si>
  <si>
    <t xml:space="preserve">synthesis</t>
  </si>
  <si>
    <t xml:space="preserve">綜合</t>
  </si>
  <si>
    <t xml:space="preserve">zung-hap</t>
  </si>
  <si>
    <t xml:space="preserve">Sino-Viet: tổng hợp</t>
  </si>
  <si>
    <t xml:space="preserve">kết luận</t>
  </si>
  <si>
    <t xml:space="preserve">conclusion</t>
  </si>
  <si>
    <t xml:space="preserve">結論</t>
  </si>
  <si>
    <t xml:space="preserve">git-leon</t>
  </si>
  <si>
    <t xml:space="preserve">Sino-Viet: kết luận</t>
  </si>
  <si>
    <t xml:space="preserve">bằng chứng</t>
  </si>
  <si>
    <t xml:space="preserve">evidence / proof</t>
  </si>
  <si>
    <t xml:space="preserve">證據</t>
  </si>
  <si>
    <t xml:space="preserve">zing-geoi</t>
  </si>
  <si>
    <t xml:space="preserve">Sino-Viet: bằng chứng</t>
  </si>
  <si>
    <t xml:space="preserve">thống kê</t>
  </si>
  <si>
    <t xml:space="preserve">statistics</t>
  </si>
  <si>
    <t xml:space="preserve">統計</t>
  </si>
  <si>
    <t xml:space="preserve">tung-gai</t>
  </si>
  <si>
    <t xml:space="preserve">Sino-Viet: thống kê</t>
  </si>
  <si>
    <t xml:space="preserve">xác suất</t>
  </si>
  <si>
    <t xml:space="preserve">probability</t>
  </si>
  <si>
    <t xml:space="preserve">概率</t>
  </si>
  <si>
    <t xml:space="preserve">goi-leot</t>
  </si>
  <si>
    <t xml:space="preserve">Sino-Viet: xác suất</t>
  </si>
  <si>
    <t xml:space="preserve">phương trình</t>
  </si>
  <si>
    <t xml:space="preserve">equation</t>
  </si>
  <si>
    <t xml:space="preserve">方程式</t>
  </si>
  <si>
    <t xml:space="preserve">fong-cing-sik</t>
  </si>
  <si>
    <t xml:space="preserve">nguyên tố</t>
  </si>
  <si>
    <t xml:space="preserve">element (chemistry)</t>
  </si>
  <si>
    <t xml:space="preserve">元素</t>
  </si>
  <si>
    <t xml:space="preserve">jyun-sou</t>
  </si>
  <si>
    <t xml:space="preserve">Sino-Viet: nguyên tố</t>
  </si>
  <si>
    <t xml:space="preserve">phân tử</t>
  </si>
  <si>
    <t xml:space="preserve">molecule</t>
  </si>
  <si>
    <t xml:space="preserve">分子</t>
  </si>
  <si>
    <t xml:space="preserve">fan-zi</t>
  </si>
  <si>
    <t xml:space="preserve">Sino-Viet: phân tử</t>
  </si>
  <si>
    <t xml:space="preserve">nguyên tử</t>
  </si>
  <si>
    <t xml:space="preserve">atom</t>
  </si>
  <si>
    <t xml:space="preserve">原子</t>
  </si>
  <si>
    <t xml:space="preserve">jyun-zi</t>
  </si>
  <si>
    <t xml:space="preserve">Sino-Viet: nguyên tử</t>
  </si>
  <si>
    <t xml:space="preserve">năng lượng hạt nhân</t>
  </si>
  <si>
    <t xml:space="preserve">nuclear energy</t>
  </si>
  <si>
    <t xml:space="preserve">核能</t>
  </si>
  <si>
    <t xml:space="preserve">hak-nang</t>
  </si>
  <si>
    <t xml:space="preserve">gen / gene</t>
  </si>
  <si>
    <t xml:space="preserve">gene</t>
  </si>
  <si>
    <t xml:space="preserve">基因</t>
  </si>
  <si>
    <t xml:space="preserve">gei-jan</t>
  </si>
  <si>
    <t xml:space="preserve">tế bào</t>
  </si>
  <si>
    <t xml:space="preserve">cell (biology)</t>
  </si>
  <si>
    <t xml:space="preserve">細胞</t>
  </si>
  <si>
    <t xml:space="preserve">sai-baau</t>
  </si>
  <si>
    <t xml:space="preserve">Sino-Viet: tế bào</t>
  </si>
  <si>
    <t xml:space="preserve">tiến hóa</t>
  </si>
  <si>
    <t xml:space="preserve">evolution</t>
  </si>
  <si>
    <t xml:space="preserve">進化</t>
  </si>
  <si>
    <t xml:space="preserve">zeon-faa</t>
  </si>
  <si>
    <t xml:space="preserve">Sino-Viet: tiến hóa</t>
  </si>
  <si>
    <t xml:space="preserve">triết lý</t>
  </si>
  <si>
    <t xml:space="preserve">philosophy / philosophical principle</t>
  </si>
  <si>
    <t xml:space="preserve">哲理</t>
  </si>
  <si>
    <t xml:space="preserve">zit-lei</t>
  </si>
  <si>
    <t xml:space="preserve">Sino-Viet: triết lý</t>
  </si>
  <si>
    <t xml:space="preserve">tư tưởng</t>
  </si>
  <si>
    <t xml:space="preserve">ideology / thought</t>
  </si>
  <si>
    <t xml:space="preserve">思想</t>
  </si>
  <si>
    <t xml:space="preserve">si-soeng</t>
  </si>
  <si>
    <t xml:space="preserve">Sino-Viet: tư tưởng</t>
  </si>
  <si>
    <t xml:space="preserve">quan điểm</t>
  </si>
  <si>
    <t xml:space="preserve">viewpoint / standpoint</t>
  </si>
  <si>
    <t xml:space="preserve">觀點</t>
  </si>
  <si>
    <t xml:space="preserve">gun-dim</t>
  </si>
  <si>
    <t xml:space="preserve">Sino-Viet: quan điểm</t>
  </si>
  <si>
    <t xml:space="preserve">nhận thức</t>
  </si>
  <si>
    <t xml:space="preserve">perception / cognition</t>
  </si>
  <si>
    <r>
      <rPr>
        <sz val="9"/>
        <color rgb="FF000000"/>
        <rFont val="Noto Sans CJK SC"/>
        <family val="2"/>
      </rPr>
      <t xml:space="preserve">認知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認識</t>
    </r>
  </si>
  <si>
    <t xml:space="preserve">jing-zi/jing-sik</t>
  </si>
  <si>
    <t xml:space="preserve">Sino-Viet: nhận thức</t>
  </si>
  <si>
    <t xml:space="preserve">phán đoán</t>
  </si>
  <si>
    <t xml:space="preserve">judgment</t>
  </si>
  <si>
    <t xml:space="preserve">判斷</t>
  </si>
  <si>
    <t xml:space="preserve">pun-tyun</t>
  </si>
  <si>
    <t xml:space="preserve">Sino-Viet: phán đoán</t>
  </si>
  <si>
    <t xml:space="preserve">lập luận</t>
  </si>
  <si>
    <t xml:space="preserve">argument / reasoning</t>
  </si>
  <si>
    <r>
      <rPr>
        <sz val="9"/>
        <color rgb="FF000000"/>
        <rFont val="Noto Sans CJK SC"/>
        <family val="2"/>
      </rPr>
      <t xml:space="preserve">論點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論證</t>
    </r>
  </si>
  <si>
    <t xml:space="preserve">leon-dim/leon-zing</t>
  </si>
  <si>
    <t xml:space="preserve">Sino-Viet: lập luận</t>
  </si>
  <si>
    <t xml:space="preserve">giả định</t>
  </si>
  <si>
    <t xml:space="preserve">assumption</t>
  </si>
  <si>
    <t xml:space="preserve">Sino-Viet: giả định</t>
  </si>
  <si>
    <t xml:space="preserve">khái niệm</t>
  </si>
  <si>
    <t xml:space="preserve">concept</t>
  </si>
  <si>
    <t xml:space="preserve">概念</t>
  </si>
  <si>
    <t xml:space="preserve">goi-nim</t>
  </si>
  <si>
    <t xml:space="preserve">Sino-Viet: khái niệm</t>
  </si>
  <si>
    <t xml:space="preserve">định nghĩa</t>
  </si>
  <si>
    <t xml:space="preserve">definition</t>
  </si>
  <si>
    <t xml:space="preserve">定義</t>
  </si>
  <si>
    <t xml:space="preserve">ding-ji</t>
  </si>
  <si>
    <t xml:space="preserve">Sino-Viet: định nghĩa</t>
  </si>
  <si>
    <t xml:space="preserve">phân loại</t>
  </si>
  <si>
    <t xml:space="preserve">classification</t>
  </si>
  <si>
    <t xml:space="preserve">分類</t>
  </si>
  <si>
    <t xml:space="preserve">fan-leoi</t>
  </si>
  <si>
    <t xml:space="preserve">Sino-Viet: phân loại</t>
  </si>
  <si>
    <t xml:space="preserve">so sánh</t>
  </si>
  <si>
    <t xml:space="preserve">comparison</t>
  </si>
  <si>
    <t xml:space="preserve">比較</t>
  </si>
  <si>
    <t xml:space="preserve">bei-gaau</t>
  </si>
  <si>
    <t xml:space="preserve">Sino-Viet: so sánh</t>
  </si>
  <si>
    <t xml:space="preserve">tương phản</t>
  </si>
  <si>
    <t xml:space="preserve">contrast</t>
  </si>
  <si>
    <r>
      <rPr>
        <sz val="9"/>
        <color rgb="FF000000"/>
        <rFont val="Noto Sans CJK SC"/>
        <family val="2"/>
      </rPr>
      <t xml:space="preserve">對比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反差</t>
    </r>
  </si>
  <si>
    <t xml:space="preserve">deoi-bei/faan-caa</t>
  </si>
  <si>
    <t xml:space="preserve">contradiction</t>
  </si>
  <si>
    <t xml:space="preserve">nhân quả</t>
  </si>
  <si>
    <t xml:space="preserve">cause and effect</t>
  </si>
  <si>
    <t xml:space="preserve">因果</t>
  </si>
  <si>
    <t xml:space="preserve">jan-gwo</t>
  </si>
  <si>
    <t xml:space="preserve">Sino-Viet: nhân quả</t>
  </si>
  <si>
    <t xml:space="preserve">hệ quả</t>
  </si>
  <si>
    <t xml:space="preserve">consequence</t>
  </si>
  <si>
    <t xml:space="preserve">後果</t>
  </si>
  <si>
    <t xml:space="preserve">hau-gwo</t>
  </si>
  <si>
    <t xml:space="preserve">Sino-Viet: hệ quả</t>
  </si>
  <si>
    <t xml:space="preserve">toàn cầu hóa</t>
  </si>
  <si>
    <t xml:space="preserve">globalization</t>
  </si>
  <si>
    <t xml:space="preserve">全球化</t>
  </si>
  <si>
    <t xml:space="preserve">cyun-kau-faa</t>
  </si>
  <si>
    <t xml:space="preserve">hiện đại hóa</t>
  </si>
  <si>
    <t xml:space="preserve">modernization</t>
  </si>
  <si>
    <t xml:space="preserve">現代化</t>
  </si>
  <si>
    <t xml:space="preserve">jin-doi-faa</t>
  </si>
  <si>
    <t xml:space="preserve">đô thị hóa</t>
  </si>
  <si>
    <t xml:space="preserve">urbanization</t>
  </si>
  <si>
    <t xml:space="preserve">城市化</t>
  </si>
  <si>
    <t xml:space="preserve">sing-si-faa</t>
  </si>
  <si>
    <t xml:space="preserve">dân chủ</t>
  </si>
  <si>
    <t xml:space="preserve">democracy</t>
  </si>
  <si>
    <t xml:space="preserve">民主</t>
  </si>
  <si>
    <t xml:space="preserve">man-zyu</t>
  </si>
  <si>
    <t xml:space="preserve">Sino-Viet: dân chủ</t>
  </si>
  <si>
    <t xml:space="preserve">độc tài</t>
  </si>
  <si>
    <t xml:space="preserve">dictatorship</t>
  </si>
  <si>
    <t xml:space="preserve">獨裁</t>
  </si>
  <si>
    <t xml:space="preserve">duk-coi</t>
  </si>
  <si>
    <t xml:space="preserve">Sino-Viet: độc tài</t>
  </si>
  <si>
    <t xml:space="preserve">chủ nghĩa xã hội</t>
  </si>
  <si>
    <t xml:space="preserve">socialism</t>
  </si>
  <si>
    <t xml:space="preserve">社會主義</t>
  </si>
  <si>
    <t xml:space="preserve">se-wui-zyu-ji</t>
  </si>
  <si>
    <t xml:space="preserve">chủ nghĩa tư bản</t>
  </si>
  <si>
    <t xml:space="preserve">capitalism</t>
  </si>
  <si>
    <t xml:space="preserve">資本主義</t>
  </si>
  <si>
    <t xml:space="preserve">zi-bun-zyu-ji</t>
  </si>
  <si>
    <t xml:space="preserve">nhân quyền</t>
  </si>
  <si>
    <t xml:space="preserve">human rights</t>
  </si>
  <si>
    <t xml:space="preserve">人權</t>
  </si>
  <si>
    <t xml:space="preserve">jan-kyun</t>
  </si>
  <si>
    <t xml:space="preserve">Sino-Viet: nhân quyền</t>
  </si>
  <si>
    <t xml:space="preserve">công bằng xã hội</t>
  </si>
  <si>
    <t xml:space="preserve">social justice</t>
  </si>
  <si>
    <t xml:space="preserve">社會公義</t>
  </si>
  <si>
    <t xml:space="preserve">se-wui-gung-ji</t>
  </si>
  <si>
    <t xml:space="preserve">đạo đức</t>
  </si>
  <si>
    <t xml:space="preserve">ethics / morality</t>
  </si>
  <si>
    <t xml:space="preserve">道德</t>
  </si>
  <si>
    <t xml:space="preserve">dou-dak</t>
  </si>
  <si>
    <t xml:space="preserve">Sino-Viet: đạo đức</t>
  </si>
  <si>
    <t xml:space="preserve">lương tâm</t>
  </si>
  <si>
    <t xml:space="preserve">conscience</t>
  </si>
  <si>
    <t xml:space="preserve">良心</t>
  </si>
  <si>
    <t xml:space="preserve">loeng-sam</t>
  </si>
  <si>
    <t xml:space="preserve">Sino-Viet: lương tâm</t>
  </si>
  <si>
    <t xml:space="preserve">phẩm giá</t>
  </si>
  <si>
    <t xml:space="preserve">dignity</t>
  </si>
  <si>
    <t xml:space="preserve">尊嚴</t>
  </si>
  <si>
    <t xml:space="preserve">zyun-jim</t>
  </si>
  <si>
    <t xml:space="preserve">Sino-Viet: phẩm giá</t>
  </si>
  <si>
    <t xml:space="preserve">nói thẳng</t>
  </si>
  <si>
    <t xml:space="preserve">to speak directly / bluntly</t>
  </si>
  <si>
    <t xml:space="preserve">直說</t>
  </si>
  <si>
    <t xml:space="preserve">zik-syut</t>
  </si>
  <si>
    <t xml:space="preserve">đi vào vấn đề</t>
  </si>
  <si>
    <t xml:space="preserve">to get to the point</t>
  </si>
  <si>
    <t xml:space="preserve">切入正題</t>
  </si>
  <si>
    <t xml:space="preserve">cit-jap-zing-tai</t>
  </si>
  <si>
    <t xml:space="preserve">nói quanh co</t>
  </si>
  <si>
    <t xml:space="preserve">to beat around the bush</t>
  </si>
  <si>
    <t xml:space="preserve">拐彎抹角</t>
  </si>
  <si>
    <t xml:space="preserve">gwaai-waan-mut-gok</t>
  </si>
  <si>
    <t xml:space="preserve">cách nói khác</t>
  </si>
  <si>
    <t xml:space="preserve">in other words</t>
  </si>
  <si>
    <t xml:space="preserve">換句話說</t>
  </si>
  <si>
    <t xml:space="preserve">wun-geoi-waa-syut</t>
  </si>
  <si>
    <t xml:space="preserve">Nói cho đúng hơn...</t>
  </si>
  <si>
    <t xml:space="preserve">More precisely...</t>
  </si>
  <si>
    <r>
      <rPr>
        <sz val="9"/>
        <color rgb="FF000000"/>
        <rFont val="Noto Sans CJK SC"/>
        <family val="2"/>
      </rPr>
      <t xml:space="preserve">更準確地說</t>
    </r>
    <r>
      <rPr>
        <sz val="9"/>
        <color rgb="FF000000"/>
        <rFont val="Arial"/>
        <family val="0"/>
        <charset val="1"/>
      </rPr>
      <t xml:space="preserve">...</t>
    </r>
  </si>
  <si>
    <t xml:space="preserve">gang-zeon-kok-dei-syut</t>
  </si>
  <si>
    <t xml:space="preserve">Tôi muốn nói là...</t>
  </si>
  <si>
    <t xml:space="preserve">What I mean is...</t>
  </si>
  <si>
    <r>
      <rPr>
        <sz val="9"/>
        <color rgb="FF000000"/>
        <rFont val="Noto Sans CJK SC"/>
        <family val="2"/>
      </rPr>
      <t xml:space="preserve">我的意思是</t>
    </r>
    <r>
      <rPr>
        <sz val="9"/>
        <color rgb="FF000000"/>
        <rFont val="Arial"/>
        <family val="0"/>
        <charset val="1"/>
      </rPr>
      <t xml:space="preserve">...</t>
    </r>
  </si>
  <si>
    <t xml:space="preserve">ngo-dik-ji-si-hai</t>
  </si>
  <si>
    <t xml:space="preserve">Theo như tôi biết...</t>
  </si>
  <si>
    <t xml:space="preserve">As far as I know...</t>
  </si>
  <si>
    <r>
      <rPr>
        <sz val="9"/>
        <color rgb="FF000000"/>
        <rFont val="Noto Sans CJK SC"/>
        <family val="2"/>
      </rPr>
      <t xml:space="preserve">就我所知</t>
    </r>
    <r>
      <rPr>
        <sz val="9"/>
        <color rgb="FF000000"/>
        <rFont val="Arial"/>
        <family val="0"/>
        <charset val="1"/>
      </rPr>
      <t xml:space="preserve">...</t>
    </r>
  </si>
  <si>
    <t xml:space="preserve">zau-ngo-so-zi</t>
  </si>
  <si>
    <t xml:space="preserve">Dựa trên...</t>
  </si>
  <si>
    <t xml:space="preserve">Based on...</t>
  </si>
  <si>
    <r>
      <rPr>
        <sz val="9"/>
        <color rgb="FF000000"/>
        <rFont val="Noto Sans CJK SC"/>
        <family val="2"/>
      </rPr>
      <t xml:space="preserve">基於</t>
    </r>
    <r>
      <rPr>
        <sz val="9"/>
        <color rgb="FF000000"/>
        <rFont val="Arial"/>
        <family val="0"/>
        <charset val="1"/>
      </rPr>
      <t xml:space="preserve">...</t>
    </r>
  </si>
  <si>
    <t xml:space="preserve">gei-jyu</t>
  </si>
  <si>
    <t xml:space="preserve">Một mặt... mặt khác...</t>
  </si>
  <si>
    <t xml:space="preserve">On one hand... on the other hand...</t>
  </si>
  <si>
    <r>
      <rPr>
        <sz val="9"/>
        <color rgb="FF000000"/>
        <rFont val="Noto Sans CJK SC"/>
        <family val="2"/>
      </rPr>
      <t xml:space="preserve">一方面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另一方面</t>
    </r>
    <r>
      <rPr>
        <sz val="9"/>
        <color rgb="FF000000"/>
        <rFont val="Arial"/>
        <family val="0"/>
        <charset val="1"/>
      </rPr>
      <t xml:space="preserve">...</t>
    </r>
  </si>
  <si>
    <t xml:space="preserve">jat-fong-min...ling-jat-fong-min</t>
  </si>
  <si>
    <t xml:space="preserve">Mặc dù... nhưng...</t>
  </si>
  <si>
    <t xml:space="preserve">Although... but...</t>
  </si>
  <si>
    <r>
      <rPr>
        <sz val="9"/>
        <color rgb="FF000000"/>
        <rFont val="Noto Sans CJK SC"/>
        <family val="2"/>
      </rPr>
      <t xml:space="preserve">雖然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但是</t>
    </r>
    <r>
      <rPr>
        <sz val="9"/>
        <color rgb="FF000000"/>
        <rFont val="Arial"/>
        <family val="0"/>
        <charset val="1"/>
      </rPr>
      <t xml:space="preserve">...</t>
    </r>
  </si>
  <si>
    <t xml:space="preserve">seoi-jin...daan-hai</t>
  </si>
  <si>
    <t xml:space="preserve">Không những... mà còn...</t>
  </si>
  <si>
    <t xml:space="preserve">Not only... but also...</t>
  </si>
  <si>
    <r>
      <rPr>
        <sz val="9"/>
        <color rgb="FF000000"/>
        <rFont val="Noto Sans CJK SC"/>
        <family val="2"/>
      </rPr>
      <t xml:space="preserve">不但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而且</t>
    </r>
    <r>
      <rPr>
        <sz val="9"/>
        <color rgb="FF000000"/>
        <rFont val="Arial"/>
        <family val="0"/>
        <charset val="1"/>
      </rPr>
      <t xml:space="preserve">...</t>
    </r>
  </si>
  <si>
    <t xml:space="preserve">bat-daan...ji-ce</t>
  </si>
  <si>
    <t xml:space="preserve">Càng... càng...</t>
  </si>
  <si>
    <t xml:space="preserve">The more... the more...</t>
  </si>
  <si>
    <r>
      <rPr>
        <sz val="9"/>
        <color rgb="FF000000"/>
        <rFont val="Noto Sans CJK SC"/>
        <family val="2"/>
      </rPr>
      <t xml:space="preserve">越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越</t>
    </r>
    <r>
      <rPr>
        <sz val="9"/>
        <color rgb="FF000000"/>
        <rFont val="Arial"/>
        <family val="0"/>
        <charset val="1"/>
      </rPr>
      <t xml:space="preserve">...</t>
    </r>
  </si>
  <si>
    <t xml:space="preserve">jyut...jyut</t>
  </si>
  <si>
    <t xml:space="preserve">Dù sao đi nữa</t>
  </si>
  <si>
    <t xml:space="preserve">Anyway / Regardless</t>
  </si>
  <si>
    <r>
      <rPr>
        <sz val="9"/>
        <color rgb="FF000000"/>
        <rFont val="Noto Sans CJK SC"/>
        <family val="2"/>
      </rPr>
      <t xml:space="preserve">反正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無論如何</t>
    </r>
  </si>
  <si>
    <t xml:space="preserve">faan-zing/mou-leon-jyu-ho</t>
  </si>
  <si>
    <t xml:space="preserve">Xét cho cùng</t>
  </si>
  <si>
    <t xml:space="preserve">All things considered / At the end of the day</t>
  </si>
  <si>
    <t xml:space="preserve">說到底</t>
  </si>
  <si>
    <t xml:space="preserve">syut-dou-dai</t>
  </si>
  <si>
    <t xml:space="preserve">Chưa kể đến</t>
  </si>
  <si>
    <t xml:space="preserve">Not to mention</t>
  </si>
  <si>
    <t xml:space="preserve">更別說</t>
  </si>
  <si>
    <t xml:space="preserve">gang-bit-syut</t>
  </si>
  <si>
    <t xml:space="preserve">đáng kể</t>
  </si>
  <si>
    <t xml:space="preserve">considerable / significant</t>
  </si>
  <si>
    <r>
      <rPr>
        <sz val="9"/>
        <color rgb="FF000000"/>
        <rFont val="Noto Sans CJK SC"/>
        <family val="2"/>
      </rPr>
      <t xml:space="preserve">相當大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顯著</t>
    </r>
  </si>
  <si>
    <t xml:space="preserve">soeng-dong-daai/hin-zyu</t>
  </si>
  <si>
    <t xml:space="preserve">Sino-Viet: đáng kể</t>
  </si>
  <si>
    <t xml:space="preserve">đặt ra câu hỏi</t>
  </si>
  <si>
    <t xml:space="preserve">to raise a question</t>
  </si>
  <si>
    <t xml:space="preserve">提出問題</t>
  </si>
  <si>
    <t xml:space="preserve">tai-ceot-man-tai</t>
  </si>
  <si>
    <t xml:space="preserve">thực tế là</t>
  </si>
  <si>
    <t xml:space="preserve">the fact is / in reality</t>
  </si>
  <si>
    <t xml:space="preserve">事實上</t>
  </si>
  <si>
    <t xml:space="preserve">si-sat-soeng</t>
  </si>
  <si>
    <t xml:space="preserve">nhìn chung</t>
  </si>
  <si>
    <t xml:space="preserve">generally speaking / overall</t>
  </si>
  <si>
    <t xml:space="preserve">總體來說</t>
  </si>
  <si>
    <t xml:space="preserve">zung-tai-loi-syut</t>
  </si>
  <si>
    <t xml:space="preserve">nói một cách đơn giản</t>
  </si>
  <si>
    <t xml:space="preserve">to put it simply</t>
  </si>
  <si>
    <t xml:space="preserve">簡單來說</t>
  </si>
  <si>
    <t xml:space="preserve">gaan-daan-loi-syut</t>
  </si>
  <si>
    <t xml:space="preserve">áo dài</t>
  </si>
  <si>
    <t xml:space="preserve">Vietnamese traditional dress</t>
  </si>
  <si>
    <r>
      <rPr>
        <sz val="9"/>
        <color rgb="FF000000"/>
        <rFont val="Noto Sans CJK SC"/>
        <family val="2"/>
      </rPr>
      <t xml:space="preserve">長衫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越南傳統服裝</t>
    </r>
  </si>
  <si>
    <t xml:space="preserve">coeng-saam</t>
  </si>
  <si>
    <t xml:space="preserve">iconic Vietnamese fashion</t>
  </si>
  <si>
    <t xml:space="preserve">nón lá</t>
  </si>
  <si>
    <t xml:space="preserve">conical hat</t>
  </si>
  <si>
    <t xml:space="preserve">斗笠</t>
  </si>
  <si>
    <t xml:space="preserve">dau-lap</t>
  </si>
  <si>
    <t xml:space="preserve">iconic Vietnamese symbol</t>
  </si>
  <si>
    <t xml:space="preserve">bánh chưng</t>
  </si>
  <si>
    <t xml:space="preserve">sticky rice cake (Tet)</t>
  </si>
  <si>
    <t xml:space="preserve">糯米粽</t>
  </si>
  <si>
    <t xml:space="preserve">no-mai-zung</t>
  </si>
  <si>
    <t xml:space="preserve">Tet food</t>
  </si>
  <si>
    <t xml:space="preserve">lì xì</t>
  </si>
  <si>
    <t xml:space="preserve">lucky red envelope</t>
  </si>
  <si>
    <r>
      <rPr>
        <sz val="9"/>
        <color rgb="FF000000"/>
        <rFont val="Noto Sans CJK SC"/>
        <family val="2"/>
      </rPr>
      <t xml:space="preserve">利是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紅包</t>
    </r>
  </si>
  <si>
    <t xml:space="preserve">lei-si/hung-baau</t>
  </si>
  <si>
    <t xml:space="preserve">Tet tradition</t>
  </si>
  <si>
    <t xml:space="preserve">Tết Nguyên Đán</t>
  </si>
  <si>
    <t xml:space="preserve">most important holiday</t>
  </si>
  <si>
    <t xml:space="preserve">cúng</t>
  </si>
  <si>
    <t xml:space="preserve">to offer / make offerings</t>
  </si>
  <si>
    <r>
      <rPr>
        <sz val="9"/>
        <color rgb="FF000000"/>
        <rFont val="Noto Sans CJK SC"/>
        <family val="2"/>
      </rPr>
      <t xml:space="preserve">祭拜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拜神</t>
    </r>
  </si>
  <si>
    <t xml:space="preserve">zai-baai/baai-san</t>
  </si>
  <si>
    <t xml:space="preserve">thờ cúng tổ tiên</t>
  </si>
  <si>
    <t xml:space="preserve">ancestor worship</t>
  </si>
  <si>
    <t xml:space="preserve">祭祖</t>
  </si>
  <si>
    <t xml:space="preserve">zai-zo</t>
  </si>
  <si>
    <t xml:space="preserve">important tradition</t>
  </si>
  <si>
    <t xml:space="preserve">bàn thờ</t>
  </si>
  <si>
    <t xml:space="preserve">altar</t>
  </si>
  <si>
    <r>
      <rPr>
        <sz val="9"/>
        <color rgb="FF000000"/>
        <rFont val="Noto Sans CJK SC"/>
        <family val="2"/>
      </rPr>
      <t xml:space="preserve">神台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祭壇</t>
    </r>
  </si>
  <si>
    <t xml:space="preserve">san-toi/zai-taan</t>
  </si>
  <si>
    <t xml:space="preserve">hương</t>
  </si>
  <si>
    <t xml:space="preserve">incense</t>
  </si>
  <si>
    <t xml:space="preserve">香</t>
  </si>
  <si>
    <t xml:space="preserve">hoeng</t>
  </si>
  <si>
    <t xml:space="preserve">Sino-Viet: hương</t>
  </si>
  <si>
    <t xml:space="preserve">phong bì</t>
  </si>
  <si>
    <t xml:space="preserve">envelope</t>
  </si>
  <si>
    <t xml:space="preserve">信封</t>
  </si>
  <si>
    <t xml:space="preserve">seon-fung</t>
  </si>
  <si>
    <t xml:space="preserve">Sino-Viet: phong bì</t>
  </si>
  <si>
    <t xml:space="preserve">đình làng</t>
  </si>
  <si>
    <t xml:space="preserve">communal house</t>
  </si>
  <si>
    <r>
      <rPr>
        <sz val="9"/>
        <color rgb="FF000000"/>
        <rFont val="Noto Sans CJK SC"/>
        <family val="2"/>
      </rPr>
      <t xml:space="preserve">公所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亭</t>
    </r>
  </si>
  <si>
    <t xml:space="preserve">gung-so/ting</t>
  </si>
  <si>
    <t xml:space="preserve">traditional village gathering place</t>
  </si>
  <si>
    <t xml:space="preserve">làng quê</t>
  </si>
  <si>
    <t xml:space="preserve">countryside village</t>
  </si>
  <si>
    <t xml:space="preserve">農村</t>
  </si>
  <si>
    <t xml:space="preserve">nung-cyun</t>
  </si>
  <si>
    <t xml:space="preserve">miền Trung</t>
  </si>
  <si>
    <t xml:space="preserve">Central Vietnam</t>
  </si>
  <si>
    <t xml:space="preserve">中部越南</t>
  </si>
  <si>
    <t xml:space="preserve">zung-bou-jyut-naam</t>
  </si>
  <si>
    <t xml:space="preserve">Sài Gòn</t>
  </si>
  <si>
    <t xml:space="preserve">Saigon (informal HCMC)</t>
  </si>
  <si>
    <t xml:space="preserve">西貢</t>
  </si>
  <si>
    <t xml:space="preserve">sai-gung</t>
  </si>
  <si>
    <t xml:space="preserve">beloved name for HCMC</t>
  </si>
  <si>
    <t xml:space="preserve">ba miền</t>
  </si>
  <si>
    <t xml:space="preserve">three regions</t>
  </si>
  <si>
    <t xml:space="preserve">三個地區</t>
  </si>
  <si>
    <t xml:space="preserve">saam-go-dei-keoi</t>
  </si>
  <si>
    <t xml:space="preserve">North/Central/South</t>
  </si>
  <si>
    <t xml:space="preserve">người Kinh</t>
  </si>
  <si>
    <t xml:space="preserve">Kinh people (majority ethnic)</t>
  </si>
  <si>
    <t xml:space="preserve">京族</t>
  </si>
  <si>
    <t xml:space="preserve">ging-zuk</t>
  </si>
  <si>
    <t xml:space="preserve">người Hoa</t>
  </si>
  <si>
    <t xml:space="preserve">ethnic Chinese in Vietnam</t>
  </si>
  <si>
    <t xml:space="preserve">華人</t>
  </si>
  <si>
    <t xml:space="preserve">waa-jan</t>
  </si>
  <si>
    <t xml:space="preserve">large community in HCMC</t>
  </si>
  <si>
    <t xml:space="preserve">phố Tàu</t>
  </si>
  <si>
    <t xml:space="preserve">Chinatown</t>
  </si>
  <si>
    <r>
      <rPr>
        <sz val="9"/>
        <color rgb="FF000000"/>
        <rFont val="Noto Sans CJK SC"/>
        <family val="2"/>
      </rPr>
      <t xml:space="preserve">唐人街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華埠</t>
    </r>
  </si>
  <si>
    <t xml:space="preserve">tong-jan-gaai/waa-fau</t>
  </si>
  <si>
    <t xml:space="preserve">Chợ Lớn in HCMC</t>
  </si>
  <si>
    <t xml:space="preserve">Chợ Lớn</t>
  </si>
  <si>
    <t xml:space="preserve">Cholon (HCMC Chinatown)</t>
  </si>
  <si>
    <t xml:space="preserve">堤岸</t>
  </si>
  <si>
    <t xml:space="preserve">tai-ngon</t>
  </si>
  <si>
    <t xml:space="preserve">largest Chinatown in SE Asia</t>
  </si>
  <si>
    <t xml:space="preserve">quán nhậu</t>
  </si>
  <si>
    <t xml:space="preserve">drinking/eating place (casual)</t>
  </si>
  <si>
    <t xml:space="preserve">大排檔</t>
  </si>
  <si>
    <t xml:space="preserve">daai-paai-dong</t>
  </si>
  <si>
    <t xml:space="preserve">kiểm tra</t>
  </si>
  <si>
    <t xml:space="preserve">to check / examine</t>
  </si>
  <si>
    <t xml:space="preserve">檢查</t>
  </si>
  <si>
    <t xml:space="preserve">gim-caa</t>
  </si>
  <si>
    <t xml:space="preserve">Sino-Viet: kiểm tra</t>
  </si>
  <si>
    <t xml:space="preserve">xác nhận</t>
  </si>
  <si>
    <t xml:space="preserve">to confirm</t>
  </si>
  <si>
    <t xml:space="preserve">確認</t>
  </si>
  <si>
    <t xml:space="preserve">kok-jing</t>
  </si>
  <si>
    <t xml:space="preserve">Sino-Viet: xác nhận</t>
  </si>
  <si>
    <t xml:space="preserve">từ chối</t>
  </si>
  <si>
    <t xml:space="preserve">to refuse / decline</t>
  </si>
  <si>
    <t xml:space="preserve">拒絕</t>
  </si>
  <si>
    <t xml:space="preserve">keoi-zyut</t>
  </si>
  <si>
    <t xml:space="preserve">Sino-Viet: từ chối</t>
  </si>
  <si>
    <t xml:space="preserve">chấp nhận</t>
  </si>
  <si>
    <t xml:space="preserve">to accept</t>
  </si>
  <si>
    <t xml:space="preserve">Sino-Viet: chấp nhận</t>
  </si>
  <si>
    <t xml:space="preserve">đề xuất</t>
  </si>
  <si>
    <t xml:space="preserve">to propose / suggest</t>
  </si>
  <si>
    <r>
      <rPr>
        <sz val="9"/>
        <color rgb="FF000000"/>
        <rFont val="Noto Sans CJK SC"/>
        <family val="2"/>
      </rPr>
      <t xml:space="preserve">提出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建議</t>
    </r>
  </si>
  <si>
    <t xml:space="preserve">tai-ceot/gin-ji</t>
  </si>
  <si>
    <t xml:space="preserve">Sino-Viet: đề xuất</t>
  </si>
  <si>
    <t xml:space="preserve">thực hiện</t>
  </si>
  <si>
    <t xml:space="preserve">to implement / carry out</t>
  </si>
  <si>
    <r>
      <rPr>
        <sz val="9"/>
        <color rgb="FF000000"/>
        <rFont val="Noto Sans CJK SC"/>
        <family val="2"/>
      </rPr>
      <t xml:space="preserve">實施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執行</t>
    </r>
  </si>
  <si>
    <t xml:space="preserve">sat-si/zap-haang</t>
  </si>
  <si>
    <t xml:space="preserve">Sino-Viet: thực hiện</t>
  </si>
  <si>
    <t xml:space="preserve">hoàn thành</t>
  </si>
  <si>
    <t xml:space="preserve">to complete / finish</t>
  </si>
  <si>
    <t xml:space="preserve">完成</t>
  </si>
  <si>
    <t xml:space="preserve">jyun-sing</t>
  </si>
  <si>
    <t xml:space="preserve">Sino-Viet: hoàn thành</t>
  </si>
  <si>
    <t xml:space="preserve">đạt được</t>
  </si>
  <si>
    <t xml:space="preserve">to achieve / attain</t>
  </si>
  <si>
    <r>
      <rPr>
        <sz val="9"/>
        <color rgb="FF000000"/>
        <rFont val="Noto Sans CJK SC"/>
        <family val="2"/>
      </rPr>
      <t xml:space="preserve">達到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取得</t>
    </r>
  </si>
  <si>
    <t xml:space="preserve">daat-dou/ceoi-dak</t>
  </si>
  <si>
    <t xml:space="preserve">gây ra</t>
  </si>
  <si>
    <t xml:space="preserve">to cause</t>
  </si>
  <si>
    <r>
      <rPr>
        <sz val="9"/>
        <color rgb="FF000000"/>
        <rFont val="Noto Sans CJK SC"/>
        <family val="2"/>
      </rPr>
      <t xml:space="preserve">造成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引起</t>
    </r>
  </si>
  <si>
    <t xml:space="preserve">zou-sing/jan-hei</t>
  </si>
  <si>
    <t xml:space="preserve">dẫn đến</t>
  </si>
  <si>
    <t xml:space="preserve">to lead to</t>
  </si>
  <si>
    <t xml:space="preserve">導致</t>
  </si>
  <si>
    <t xml:space="preserve">dou-zi</t>
  </si>
  <si>
    <t xml:space="preserve">Sino-Viet: dẫn đến</t>
  </si>
  <si>
    <t xml:space="preserve">bao gồm</t>
  </si>
  <si>
    <t xml:space="preserve">to include</t>
  </si>
  <si>
    <t xml:space="preserve">包括</t>
  </si>
  <si>
    <t xml:space="preserve">baau-kut</t>
  </si>
  <si>
    <t xml:space="preserve">Sino-Viet: bao gồm</t>
  </si>
  <si>
    <t xml:space="preserve">loại trừ</t>
  </si>
  <si>
    <t xml:space="preserve">to exclude</t>
  </si>
  <si>
    <t xml:space="preserve">排除</t>
  </si>
  <si>
    <t xml:space="preserve">paai-ceoi</t>
  </si>
  <si>
    <t xml:space="preserve">Sino-Viet: loại trừ</t>
  </si>
  <si>
    <t xml:space="preserve">đại diện</t>
  </si>
  <si>
    <t xml:space="preserve">to represent</t>
  </si>
  <si>
    <t xml:space="preserve">代表</t>
  </si>
  <si>
    <t xml:space="preserve">doi-biu</t>
  </si>
  <si>
    <t xml:space="preserve">Sino-Viet: đại diện</t>
  </si>
  <si>
    <t xml:space="preserve">ủy quyền</t>
  </si>
  <si>
    <t xml:space="preserve">to authorize / delegate</t>
  </si>
  <si>
    <t xml:space="preserve">授權</t>
  </si>
  <si>
    <t xml:space="preserve">sau-kyun</t>
  </si>
  <si>
    <t xml:space="preserve">phụ trách</t>
  </si>
  <si>
    <t xml:space="preserve">to be in charge of</t>
  </si>
  <si>
    <t xml:space="preserve">負責</t>
  </si>
  <si>
    <t xml:space="preserve">fu-zaak</t>
  </si>
  <si>
    <t xml:space="preserve">Sino-Viet: phụ trách</t>
  </si>
  <si>
    <t xml:space="preserve">to report</t>
  </si>
  <si>
    <t xml:space="preserve">tổ chức</t>
  </si>
  <si>
    <t xml:space="preserve">to organize</t>
  </si>
  <si>
    <t xml:space="preserve">組織</t>
  </si>
  <si>
    <t xml:space="preserve">zou-zik</t>
  </si>
  <si>
    <t xml:space="preserve">Sino-Viet: tổ chức</t>
  </si>
  <si>
    <t xml:space="preserve">phối hợp</t>
  </si>
  <si>
    <t xml:space="preserve">to coordinate</t>
  </si>
  <si>
    <t xml:space="preserve">協調</t>
  </si>
  <si>
    <t xml:space="preserve">hip-tiu</t>
  </si>
  <si>
    <t xml:space="preserve">Sino-Viet: phối hợp</t>
  </si>
  <si>
    <t xml:space="preserve">to negotiate</t>
  </si>
  <si>
    <t xml:space="preserve">thương lượng</t>
  </si>
  <si>
    <t xml:space="preserve">to negotiate / bargain</t>
  </si>
  <si>
    <t xml:space="preserve">磋商</t>
  </si>
  <si>
    <t xml:space="preserve">co-soeng</t>
  </si>
  <si>
    <t xml:space="preserve">liên hệ</t>
  </si>
  <si>
    <t xml:space="preserve">to contact</t>
  </si>
  <si>
    <t xml:space="preserve">聯繫</t>
  </si>
  <si>
    <t xml:space="preserve">lyun-hai</t>
  </si>
  <si>
    <t xml:space="preserve">Sino-Viet: liên hệ</t>
  </si>
  <si>
    <t xml:space="preserve">tư vấn</t>
  </si>
  <si>
    <t xml:space="preserve">to advise / consult</t>
  </si>
  <si>
    <r>
      <rPr>
        <sz val="9"/>
        <color rgb="FF000000"/>
        <rFont val="Noto Sans CJK SC"/>
        <family val="2"/>
      </rPr>
      <t xml:space="preserve">諮詢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顧問</t>
    </r>
  </si>
  <si>
    <t xml:space="preserve">zi-seon/gu-man</t>
  </si>
  <si>
    <t xml:space="preserve">Sino-Viet: tư vấn</t>
  </si>
  <si>
    <t xml:space="preserve">đánh giá</t>
  </si>
  <si>
    <t xml:space="preserve">to evaluate / assess</t>
  </si>
  <si>
    <t xml:space="preserve">評估</t>
  </si>
  <si>
    <t xml:space="preserve">ping-gu</t>
  </si>
  <si>
    <t xml:space="preserve">Sino-Viet: đánh giá</t>
  </si>
  <si>
    <t xml:space="preserve">to analyze</t>
  </si>
  <si>
    <t xml:space="preserve">tóm tắt</t>
  </si>
  <si>
    <t xml:space="preserve">to summarize</t>
  </si>
  <si>
    <r>
      <rPr>
        <sz val="9"/>
        <color rgb="FF000000"/>
        <rFont val="Noto Sans CJK SC"/>
        <family val="2"/>
      </rPr>
      <t xml:space="preserve">總結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摘要</t>
    </r>
  </si>
  <si>
    <t xml:space="preserve">zung-git/zaak-jiu</t>
  </si>
  <si>
    <t xml:space="preserve">mô tả</t>
  </si>
  <si>
    <t xml:space="preserve">to describe</t>
  </si>
  <si>
    <r>
      <rPr>
        <sz val="9"/>
        <color rgb="FF000000"/>
        <rFont val="Noto Sans CJK SC"/>
        <family val="2"/>
      </rPr>
      <t xml:space="preserve">描述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描寫</t>
    </r>
  </si>
  <si>
    <t xml:space="preserve">miu-seot/miu-se</t>
  </si>
  <si>
    <t xml:space="preserve">Sino-Viet: mô tả</t>
  </si>
  <si>
    <t xml:space="preserve">giải thích</t>
  </si>
  <si>
    <t xml:space="preserve">to explain</t>
  </si>
  <si>
    <t xml:space="preserve">解釋</t>
  </si>
  <si>
    <t xml:space="preserve">gaai-sik</t>
  </si>
  <si>
    <t xml:space="preserve">Sino-Viet: giải thích</t>
  </si>
  <si>
    <t xml:space="preserve">chứng minh</t>
  </si>
  <si>
    <t xml:space="preserve">to prove</t>
  </si>
  <si>
    <t xml:space="preserve">證明</t>
  </si>
  <si>
    <t xml:space="preserve">zing-ming</t>
  </si>
  <si>
    <t xml:space="preserve">Sino-Viet: chứng minh</t>
  </si>
  <si>
    <t xml:space="preserve">phủ nhận</t>
  </si>
  <si>
    <t xml:space="preserve">to deny</t>
  </si>
  <si>
    <t xml:space="preserve">否認</t>
  </si>
  <si>
    <t xml:space="preserve">fau-jing</t>
  </si>
  <si>
    <t xml:space="preserve">Sino-Viet: phủ nhận</t>
  </si>
  <si>
    <t xml:space="preserve">thừa nhận</t>
  </si>
  <si>
    <t xml:space="preserve">to admit / acknowledge</t>
  </si>
  <si>
    <t xml:space="preserve">承認</t>
  </si>
  <si>
    <t xml:space="preserve">sing-jing</t>
  </si>
  <si>
    <t xml:space="preserve">Sino-Viet: thừa nhận</t>
  </si>
  <si>
    <t xml:space="preserve">phàn nàn</t>
  </si>
  <si>
    <t xml:space="preserve">to complain</t>
  </si>
  <si>
    <r>
      <rPr>
        <sz val="9"/>
        <color rgb="FF000000"/>
        <rFont val="Noto Sans CJK SC"/>
        <family val="2"/>
      </rPr>
      <t xml:space="preserve">投訴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埋怨</t>
    </r>
  </si>
  <si>
    <t xml:space="preserve">tau-sou/maai-jyun</t>
  </si>
  <si>
    <t xml:space="preserve">khen ngợi</t>
  </si>
  <si>
    <t xml:space="preserve">to praise</t>
  </si>
  <si>
    <t xml:space="preserve">稱讚</t>
  </si>
  <si>
    <t xml:space="preserve">cing-zaan</t>
  </si>
  <si>
    <t xml:space="preserve">Sino-Viet: khen ngợi</t>
  </si>
  <si>
    <t xml:space="preserve">phê bình</t>
  </si>
  <si>
    <t xml:space="preserve">to criticize</t>
  </si>
  <si>
    <t xml:space="preserve">批評</t>
  </si>
  <si>
    <t xml:space="preserve">pai-ping</t>
  </si>
  <si>
    <t xml:space="preserve">Sino-Viet: phê bình</t>
  </si>
  <si>
    <t xml:space="preserve">khuyến khích</t>
  </si>
  <si>
    <t xml:space="preserve">to encourage</t>
  </si>
  <si>
    <t xml:space="preserve">鼓勵</t>
  </si>
  <si>
    <t xml:space="preserve">gu-lai</t>
  </si>
  <si>
    <t xml:space="preserve">Sino-Viet: khuyến khích</t>
  </si>
  <si>
    <t xml:space="preserve">cảnh báo</t>
  </si>
  <si>
    <t xml:space="preserve">to warn</t>
  </si>
  <si>
    <t xml:space="preserve">警告</t>
  </si>
  <si>
    <t xml:space="preserve">ging-gou</t>
  </si>
  <si>
    <t xml:space="preserve">Sino-Viet: cảnh báo</t>
  </si>
  <si>
    <t xml:space="preserve">nhắc nhở</t>
  </si>
  <si>
    <t xml:space="preserve">to remind</t>
  </si>
  <si>
    <t xml:space="preserve">提醒</t>
  </si>
  <si>
    <t xml:space="preserve">tai-sing</t>
  </si>
  <si>
    <t xml:space="preserve">hướng dẫn</t>
  </si>
  <si>
    <t xml:space="preserve">to guide / instruct</t>
  </si>
  <si>
    <t xml:space="preserve">指導</t>
  </si>
  <si>
    <t xml:space="preserve">zi-dou</t>
  </si>
  <si>
    <t xml:space="preserve">Sino-Viet: hướng dẫn</t>
  </si>
  <si>
    <t xml:space="preserve">tham gia</t>
  </si>
  <si>
    <t xml:space="preserve">to participate / join</t>
  </si>
  <si>
    <t xml:space="preserve">參加</t>
  </si>
  <si>
    <t xml:space="preserve">caam-gaa</t>
  </si>
  <si>
    <t xml:space="preserve">Sino-Viet: tham gia</t>
  </si>
  <si>
    <t xml:space="preserve">rút lui</t>
  </si>
  <si>
    <t xml:space="preserve">to withdraw / retreat</t>
  </si>
  <si>
    <t xml:space="preserve">撤退</t>
  </si>
  <si>
    <t xml:space="preserve">cit-teoi</t>
  </si>
  <si>
    <t xml:space="preserve">Sino-Viet: rút lui</t>
  </si>
  <si>
    <t xml:space="preserve">nhường</t>
  </si>
  <si>
    <t xml:space="preserve">to yield / give way to</t>
  </si>
  <si>
    <t xml:space="preserve">讓步</t>
  </si>
  <si>
    <t xml:space="preserve">joeng-bou</t>
  </si>
  <si>
    <t xml:space="preserve">to compete</t>
  </si>
  <si>
    <t xml:space="preserve">hợp tác</t>
  </si>
  <si>
    <t xml:space="preserve">to cooperate</t>
  </si>
  <si>
    <t xml:space="preserve">合作</t>
  </si>
  <si>
    <t xml:space="preserve">hap-zok</t>
  </si>
  <si>
    <t xml:space="preserve">Sino-Viet: hợp tác</t>
  </si>
  <si>
    <t xml:space="preserve">đóng góp</t>
  </si>
  <si>
    <t xml:space="preserve">to contribute</t>
  </si>
  <si>
    <t xml:space="preserve">貢獻</t>
  </si>
  <si>
    <t xml:space="preserve">gung-hin</t>
  </si>
  <si>
    <t xml:space="preserve">Sino-Viet: đóng góp</t>
  </si>
  <si>
    <t xml:space="preserve">tình nguyện</t>
  </si>
  <si>
    <t xml:space="preserve">to volunteer</t>
  </si>
  <si>
    <t xml:space="preserve">志願</t>
  </si>
  <si>
    <t xml:space="preserve">zi-jyun</t>
  </si>
  <si>
    <t xml:space="preserve">Sino-Viet: tình nguyện</t>
  </si>
  <si>
    <t xml:space="preserve">cải thiện</t>
  </si>
  <si>
    <t xml:space="preserve">to improve</t>
  </si>
  <si>
    <t xml:space="preserve">改善</t>
  </si>
  <si>
    <t xml:space="preserve">goi-sin</t>
  </si>
  <si>
    <t xml:space="preserve">Sino-Viet: cải thiện</t>
  </si>
  <si>
    <t xml:space="preserve">nâng cao</t>
  </si>
  <si>
    <t xml:space="preserve">to raise / enhance</t>
  </si>
  <si>
    <r>
      <rPr>
        <sz val="9"/>
        <color rgb="FF000000"/>
        <rFont val="Noto Sans CJK SC"/>
        <family val="2"/>
      </rPr>
      <t xml:space="preserve">提高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提升</t>
    </r>
  </si>
  <si>
    <t xml:space="preserve">tai-gou/tai-sing</t>
  </si>
  <si>
    <t xml:space="preserve">giảm bớt</t>
  </si>
  <si>
    <t xml:space="preserve">to reduce / lessen</t>
  </si>
  <si>
    <r>
      <rPr>
        <sz val="9"/>
        <color rgb="FF000000"/>
        <rFont val="Noto Sans CJK SC"/>
        <family val="2"/>
      </rPr>
      <t xml:space="preserve">減少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減輕</t>
    </r>
  </si>
  <si>
    <t xml:space="preserve">gaam-siu/gaam-hing</t>
  </si>
  <si>
    <t xml:space="preserve">vượt qua</t>
  </si>
  <si>
    <t xml:space="preserve">to overcome / surpass</t>
  </si>
  <si>
    <r>
      <rPr>
        <sz val="9"/>
        <color rgb="FF000000"/>
        <rFont val="Noto Sans CJK SC"/>
        <family val="2"/>
      </rPr>
      <t xml:space="preserve">克服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超越</t>
    </r>
  </si>
  <si>
    <t xml:space="preserve">hak-fuk/ciu-jyut</t>
  </si>
  <si>
    <t xml:space="preserve">phức tạp</t>
  </si>
  <si>
    <t xml:space="preserve">complex / complicated</t>
  </si>
  <si>
    <t xml:space="preserve">複雜</t>
  </si>
  <si>
    <t xml:space="preserve">fuk-zaap</t>
  </si>
  <si>
    <t xml:space="preserve">Sino-Viet: phức tạp</t>
  </si>
  <si>
    <t xml:space="preserve">đơn giản</t>
  </si>
  <si>
    <t xml:space="preserve">simple</t>
  </si>
  <si>
    <t xml:space="preserve">簡單</t>
  </si>
  <si>
    <t xml:space="preserve">gaan-daan</t>
  </si>
  <si>
    <t xml:space="preserve">Sino-Viet: đơn giản</t>
  </si>
  <si>
    <t xml:space="preserve">chính xác</t>
  </si>
  <si>
    <t xml:space="preserve">accurate / precise</t>
  </si>
  <si>
    <r>
      <rPr>
        <sz val="9"/>
        <color rgb="FF000000"/>
        <rFont val="Noto Sans CJK SC"/>
        <family val="2"/>
      </rPr>
      <t xml:space="preserve">準確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精確</t>
    </r>
  </si>
  <si>
    <t xml:space="preserve">zeon-kok/zing-kok</t>
  </si>
  <si>
    <t xml:space="preserve">Sino-Viet: chính xác</t>
  </si>
  <si>
    <t xml:space="preserve">mơ hồ</t>
  </si>
  <si>
    <t xml:space="preserve">vague / ambiguous</t>
  </si>
  <si>
    <t xml:space="preserve">模糊</t>
  </si>
  <si>
    <t xml:space="preserve">mou-wu</t>
  </si>
  <si>
    <t xml:space="preserve">Sino-Viet: mơ hồ</t>
  </si>
  <si>
    <t xml:space="preserve">rõ ràng</t>
  </si>
  <si>
    <t xml:space="preserve">clear / obvious</t>
  </si>
  <si>
    <r>
      <rPr>
        <sz val="9"/>
        <color rgb="FF000000"/>
        <rFont val="Noto Sans CJK SC"/>
        <family val="2"/>
      </rPr>
      <t xml:space="preserve">清楚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明顯</t>
    </r>
  </si>
  <si>
    <t xml:space="preserve">cing-co/ming-hin</t>
  </si>
  <si>
    <t xml:space="preserve">hợp lý</t>
  </si>
  <si>
    <t xml:space="preserve">reasonable / logical</t>
  </si>
  <si>
    <t xml:space="preserve">合理</t>
  </si>
  <si>
    <t xml:space="preserve">hap-lei</t>
  </si>
  <si>
    <t xml:space="preserve">Sino-Viet: hợp lý</t>
  </si>
  <si>
    <t xml:space="preserve">vô lý</t>
  </si>
  <si>
    <t xml:space="preserve">unreasonable / illogical</t>
  </si>
  <si>
    <t xml:space="preserve">無理</t>
  </si>
  <si>
    <t xml:space="preserve">mou-lei</t>
  </si>
  <si>
    <t xml:space="preserve">Sino-Viet: vô lý</t>
  </si>
  <si>
    <t xml:space="preserve">cần cù</t>
  </si>
  <si>
    <t xml:space="preserve">hardworking / diligent</t>
  </si>
  <si>
    <t xml:space="preserve">勤勞</t>
  </si>
  <si>
    <t xml:space="preserve">kan-lou</t>
  </si>
  <si>
    <t xml:space="preserve">Sino-Viet: cần cù</t>
  </si>
  <si>
    <t xml:space="preserve">lười biếng</t>
  </si>
  <si>
    <t xml:space="preserve">lazy</t>
  </si>
  <si>
    <t xml:space="preserve">懶惰</t>
  </si>
  <si>
    <t xml:space="preserve">laan-doh</t>
  </si>
  <si>
    <t xml:space="preserve">thông minh</t>
  </si>
  <si>
    <t xml:space="preserve">intelligent / smart</t>
  </si>
  <si>
    <t xml:space="preserve">聰明</t>
  </si>
  <si>
    <t xml:space="preserve">cung-ming</t>
  </si>
  <si>
    <t xml:space="preserve">Sino-Viet: thông minh</t>
  </si>
  <si>
    <t xml:space="preserve">ngốc / khờ</t>
  </si>
  <si>
    <t xml:space="preserve">stupid / foolish</t>
  </si>
  <si>
    <t xml:space="preserve">愚蠢</t>
  </si>
  <si>
    <t xml:space="preserve">jyu-ceon</t>
  </si>
  <si>
    <t xml:space="preserve">trung thực</t>
  </si>
  <si>
    <t xml:space="preserve">honest</t>
  </si>
  <si>
    <t xml:space="preserve">誠實</t>
  </si>
  <si>
    <t xml:space="preserve">sing-sat</t>
  </si>
  <si>
    <t xml:space="preserve">Sino-Viet: trung thực</t>
  </si>
  <si>
    <t xml:space="preserve">gian dối</t>
  </si>
  <si>
    <t xml:space="preserve">dishonest / deceitful</t>
  </si>
  <si>
    <r>
      <rPr>
        <sz val="9"/>
        <color rgb="FF000000"/>
        <rFont val="Noto Sans CJK SC"/>
        <family val="2"/>
      </rPr>
      <t xml:space="preserve">欺騙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不誠實</t>
    </r>
  </si>
  <si>
    <t xml:space="preserve">hei-pin/bat-sing-sat</t>
  </si>
  <si>
    <t xml:space="preserve">tốt bụng</t>
  </si>
  <si>
    <t xml:space="preserve">kind-hearted</t>
  </si>
  <si>
    <t xml:space="preserve">善心</t>
  </si>
  <si>
    <t xml:space="preserve">sin-sam</t>
  </si>
  <si>
    <t xml:space="preserve">tham lam</t>
  </si>
  <si>
    <t xml:space="preserve">greedy</t>
  </si>
  <si>
    <t xml:space="preserve">貪心</t>
  </si>
  <si>
    <t xml:space="preserve">taam-sam</t>
  </si>
  <si>
    <t xml:space="preserve">Sino-Viet: tham lam</t>
  </si>
  <si>
    <t xml:space="preserve">hào phóng</t>
  </si>
  <si>
    <t xml:space="preserve">generous</t>
  </si>
  <si>
    <t xml:space="preserve">慷慨</t>
  </si>
  <si>
    <t xml:space="preserve">hong-koi</t>
  </si>
  <si>
    <t xml:space="preserve">bủn xỉn</t>
  </si>
  <si>
    <t xml:space="preserve">stingy / miserly</t>
  </si>
  <si>
    <t xml:space="preserve">吝嗇</t>
  </si>
  <si>
    <t xml:space="preserve">leon-saak</t>
  </si>
  <si>
    <t xml:space="preserve">dũng cảm</t>
  </si>
  <si>
    <t xml:space="preserve">brave / courageous</t>
  </si>
  <si>
    <t xml:space="preserve">勇敢</t>
  </si>
  <si>
    <t xml:space="preserve">jung-gam</t>
  </si>
  <si>
    <t xml:space="preserve">Sino-Viet: dũng cảm</t>
  </si>
  <si>
    <t xml:space="preserve">nhút nhát</t>
  </si>
  <si>
    <t xml:space="preserve">timid / shy</t>
  </si>
  <si>
    <r>
      <rPr>
        <sz val="9"/>
        <color rgb="FF000000"/>
        <rFont val="Noto Sans CJK SC"/>
        <family val="2"/>
      </rPr>
      <t xml:space="preserve">膽小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害羞</t>
    </r>
  </si>
  <si>
    <t xml:space="preserve">daam-siu/hoi-sau</t>
  </si>
  <si>
    <t xml:space="preserve">tự tin</t>
  </si>
  <si>
    <t xml:space="preserve">confident</t>
  </si>
  <si>
    <t xml:space="preserve">自信</t>
  </si>
  <si>
    <t xml:space="preserve">zi-seon</t>
  </si>
  <si>
    <t xml:space="preserve">Sino-Viet: tự tin</t>
  </si>
  <si>
    <t xml:space="preserve">khiêm tốn</t>
  </si>
  <si>
    <t xml:space="preserve">humble / modest</t>
  </si>
  <si>
    <r>
      <rPr>
        <sz val="9"/>
        <color rgb="FF000000"/>
        <rFont val="Noto Sans CJK SC"/>
        <family val="2"/>
      </rPr>
      <t xml:space="preserve">謙遜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謙虛</t>
    </r>
  </si>
  <si>
    <t xml:space="preserve">him-seon/him-heoi</t>
  </si>
  <si>
    <t xml:space="preserve">Sino-Viet: khiêm tốn</t>
  </si>
  <si>
    <t xml:space="preserve">kiên nhẫn</t>
  </si>
  <si>
    <t xml:space="preserve">patient</t>
  </si>
  <si>
    <t xml:space="preserve">耐心</t>
  </si>
  <si>
    <t xml:space="preserve">noi-sam</t>
  </si>
  <si>
    <t xml:space="preserve">Sino-Viet: kiên nhẫn</t>
  </si>
  <si>
    <t xml:space="preserve">nóng tính</t>
  </si>
  <si>
    <t xml:space="preserve">hot-tempered</t>
  </si>
  <si>
    <t xml:space="preserve">急性子</t>
  </si>
  <si>
    <t xml:space="preserve">gap-sing-zi</t>
  </si>
  <si>
    <t xml:space="preserve">năng động</t>
  </si>
  <si>
    <t xml:space="preserve">dynamic / energetic</t>
  </si>
  <si>
    <t xml:space="preserve">活躍</t>
  </si>
  <si>
    <t xml:space="preserve">wut-joek</t>
  </si>
  <si>
    <t xml:space="preserve">Sino-Viet: năng động</t>
  </si>
  <si>
    <t xml:space="preserve">cẩn thận</t>
  </si>
  <si>
    <t xml:space="preserve">careful</t>
  </si>
  <si>
    <r>
      <rPr>
        <sz val="9"/>
        <color rgb="FF000000"/>
        <rFont val="Noto Sans CJK SC"/>
        <family val="2"/>
      </rPr>
      <t xml:space="preserve">小心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謹慎</t>
    </r>
  </si>
  <si>
    <t xml:space="preserve">siu-sam/gan-san</t>
  </si>
  <si>
    <t xml:space="preserve">bất cẩn</t>
  </si>
  <si>
    <t xml:space="preserve">careless</t>
  </si>
  <si>
    <t xml:space="preserve">粗心</t>
  </si>
  <si>
    <t xml:space="preserve">cou-sam</t>
  </si>
  <si>
    <t xml:space="preserve">quyết đoán</t>
  </si>
  <si>
    <t xml:space="preserve">decisive</t>
  </si>
  <si>
    <t xml:space="preserve">果斷</t>
  </si>
  <si>
    <t xml:space="preserve">gwo-tyun</t>
  </si>
  <si>
    <t xml:space="preserve">Sino-Viet: quyết đoán</t>
  </si>
  <si>
    <t xml:space="preserve">ưu tiên</t>
  </si>
  <si>
    <t xml:space="preserve">priority / preferred</t>
  </si>
  <si>
    <t xml:space="preserve">優先</t>
  </si>
  <si>
    <t xml:space="preserve">jau-sin</t>
  </si>
  <si>
    <t xml:space="preserve">Sino-Viet: ưu tiên</t>
  </si>
  <si>
    <t xml:space="preserve">tối ưu</t>
  </si>
  <si>
    <t xml:space="preserve">optimal</t>
  </si>
  <si>
    <t xml:space="preserve">最優</t>
  </si>
  <si>
    <t xml:space="preserve">zeoi-jau</t>
  </si>
  <si>
    <t xml:space="preserve">Sino-Viet: tối ưu</t>
  </si>
  <si>
    <t xml:space="preserve">bắt buộc</t>
  </si>
  <si>
    <t xml:space="preserve">mandatory / compulsory</t>
  </si>
  <si>
    <t xml:space="preserve">強制</t>
  </si>
  <si>
    <t xml:space="preserve">koeng-zai</t>
  </si>
  <si>
    <t xml:space="preserve">tự nguyện</t>
  </si>
  <si>
    <t xml:space="preserve">voluntary</t>
  </si>
  <si>
    <t xml:space="preserve">自願</t>
  </si>
  <si>
    <t xml:space="preserve">hạn chế</t>
  </si>
  <si>
    <t xml:space="preserve">limited / restricted</t>
  </si>
  <si>
    <r>
      <rPr>
        <sz val="9"/>
        <color rgb="FF000000"/>
        <rFont val="Noto Sans CJK SC"/>
        <family val="2"/>
      </rPr>
      <t xml:space="preserve">有限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限制</t>
    </r>
  </si>
  <si>
    <t xml:space="preserve">jau-haan/haan-zai</t>
  </si>
  <si>
    <t xml:space="preserve">Sino-Viet: hạn chế</t>
  </si>
  <si>
    <t xml:space="preserve">vô hạn</t>
  </si>
  <si>
    <t xml:space="preserve">unlimited / infinite</t>
  </si>
  <si>
    <t xml:space="preserve">無限</t>
  </si>
  <si>
    <t xml:space="preserve">mou-haan</t>
  </si>
  <si>
    <t xml:space="preserve">Sino-Viet: vô hạn</t>
  </si>
  <si>
    <t xml:space="preserve">ưu điểm</t>
  </si>
  <si>
    <t xml:space="preserve">advantage / strength</t>
  </si>
  <si>
    <t xml:space="preserve">優點</t>
  </si>
  <si>
    <t xml:space="preserve">Sino-Viet: ưu điểm</t>
  </si>
  <si>
    <t xml:space="preserve">nhược điểm</t>
  </si>
  <si>
    <t xml:space="preserve">disadvantage / weakness</t>
  </si>
  <si>
    <t xml:space="preserve">缺點</t>
  </si>
  <si>
    <t xml:space="preserve">kyut-dim</t>
  </si>
  <si>
    <t xml:space="preserve">Sino-Viet: nhược điểm</t>
  </si>
  <si>
    <t xml:space="preserve">cơ sở</t>
  </si>
  <si>
    <t xml:space="preserve">foundation / basis</t>
  </si>
  <si>
    <t xml:space="preserve">基礎</t>
  </si>
  <si>
    <t xml:space="preserve">gei-co</t>
  </si>
  <si>
    <t xml:space="preserve">Sino-Viet: cơ sở</t>
  </si>
  <si>
    <t xml:space="preserve">tiêu chí</t>
  </si>
  <si>
    <t xml:space="preserve">criteria</t>
  </si>
  <si>
    <t xml:space="preserve">標準</t>
  </si>
  <si>
    <t xml:space="preserve">biu-zeon</t>
  </si>
  <si>
    <t xml:space="preserve">Sino-Viet: tiêu chí</t>
  </si>
  <si>
    <t xml:space="preserve">nguyên tắc</t>
  </si>
  <si>
    <t xml:space="preserve">principle / rule</t>
  </si>
  <si>
    <t xml:space="preserve">原則</t>
  </si>
  <si>
    <t xml:space="preserve">jyun-zak</t>
  </si>
  <si>
    <t xml:space="preserve">Sino-Viet: nguyên tắc</t>
  </si>
  <si>
    <t xml:space="preserve">hiện tượng</t>
  </si>
  <si>
    <t xml:space="preserve">phenomenon</t>
  </si>
  <si>
    <t xml:space="preserve">現象</t>
  </si>
  <si>
    <t xml:space="preserve">jin-zoeng</t>
  </si>
  <si>
    <t xml:space="preserve">Sino-Viet: hiện tượng</t>
  </si>
  <si>
    <t xml:space="preserve">tình huống</t>
  </si>
  <si>
    <t xml:space="preserve">situation</t>
  </si>
  <si>
    <t xml:space="preserve">情況</t>
  </si>
  <si>
    <t xml:space="preserve">cing-fong</t>
  </si>
  <si>
    <t xml:space="preserve">Sino-Viet: tình huống</t>
  </si>
  <si>
    <t xml:space="preserve">hoàn cảnh</t>
  </si>
  <si>
    <t xml:space="preserve">circumstances</t>
  </si>
  <si>
    <r>
      <rPr>
        <sz val="9"/>
        <color rgb="FF000000"/>
        <rFont val="Noto Sans CJK SC"/>
        <family val="2"/>
      </rPr>
      <t xml:space="preserve">環境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處境</t>
    </r>
  </si>
  <si>
    <t xml:space="preserve">waan-ging/cyu-ging</t>
  </si>
  <si>
    <t xml:space="preserve">Sino-Viet: hoàn cảnh</t>
  </si>
  <si>
    <t xml:space="preserve">đặc điểm</t>
  </si>
  <si>
    <t xml:space="preserve">characteristic / feature</t>
  </si>
  <si>
    <t xml:space="preserve">特點</t>
  </si>
  <si>
    <t xml:space="preserve">dak-dim</t>
  </si>
  <si>
    <t xml:space="preserve">Sino-Viet: đặc điểm</t>
  </si>
  <si>
    <t xml:space="preserve">ví dụ điển hình</t>
  </si>
  <si>
    <t xml:space="preserve">typical example</t>
  </si>
  <si>
    <t xml:space="preserve">典型例子</t>
  </si>
  <si>
    <t xml:space="preserve">din-jing-lai-zi</t>
  </si>
  <si>
    <t xml:space="preserve">ngoại lệ</t>
  </si>
  <si>
    <t xml:space="preserve">exception</t>
  </si>
  <si>
    <t xml:space="preserve">例外</t>
  </si>
  <si>
    <t xml:space="preserve">lai-ngoi</t>
  </si>
  <si>
    <t xml:space="preserve">Sino-Viet: ngoại lệ</t>
  </si>
  <si>
    <t xml:space="preserve">quy luật</t>
  </si>
  <si>
    <t xml:space="preserve">rule / law (natural)</t>
  </si>
  <si>
    <t xml:space="preserve">規律</t>
  </si>
  <si>
    <t xml:space="preserve">kwai-leot</t>
  </si>
  <si>
    <t xml:space="preserve">Sino-Viet: quy luật</t>
  </si>
  <si>
    <t xml:space="preserve">yếu tố</t>
  </si>
  <si>
    <t xml:space="preserve">factor</t>
  </si>
  <si>
    <t xml:space="preserve">因素</t>
  </si>
  <si>
    <t xml:space="preserve">jan-sou</t>
  </si>
  <si>
    <t xml:space="preserve">Sino-Viet: yếu tố</t>
  </si>
  <si>
    <t xml:space="preserve">tác động</t>
  </si>
  <si>
    <t xml:space="preserve">impact / effect</t>
  </si>
  <si>
    <r>
      <rPr>
        <sz val="9"/>
        <color rgb="FF000000"/>
        <rFont val="Noto Sans CJK SC"/>
        <family val="2"/>
      </rPr>
      <t xml:space="preserve">影響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作用</t>
    </r>
  </si>
  <si>
    <t xml:space="preserve">jing-hoeng/zok-jung</t>
  </si>
  <si>
    <t xml:space="preserve">Sino-Viet: tác động</t>
  </si>
  <si>
    <t xml:space="preserve">hậu quả</t>
  </si>
  <si>
    <t xml:space="preserve">consequence / aftermath</t>
  </si>
  <si>
    <t xml:space="preserve">Sino-Viet: hậu quả</t>
  </si>
  <si>
    <t xml:space="preserve">tiến độ</t>
  </si>
  <si>
    <t xml:space="preserve">progress</t>
  </si>
  <si>
    <t xml:space="preserve">進度</t>
  </si>
  <si>
    <t xml:space="preserve">zeon-dou</t>
  </si>
  <si>
    <t xml:space="preserve">Sino-Viet: tiến độ</t>
  </si>
  <si>
    <t xml:space="preserve">giai đoạn</t>
  </si>
  <si>
    <t xml:space="preserve">stage / phase</t>
  </si>
  <si>
    <t xml:space="preserve">階段</t>
  </si>
  <si>
    <t xml:space="preserve">gaai-dyun</t>
  </si>
  <si>
    <t xml:space="preserve">Sino-Viet: giai đoạn</t>
  </si>
  <si>
    <t xml:space="preserve">lĩnh vực</t>
  </si>
  <si>
    <t xml:space="preserve">field / domain</t>
  </si>
  <si>
    <t xml:space="preserve">領域</t>
  </si>
  <si>
    <t xml:space="preserve">ling-wik</t>
  </si>
  <si>
    <t xml:space="preserve">Sino-Viet: lĩnh vực</t>
  </si>
  <si>
    <t xml:space="preserve">phạm vi</t>
  </si>
  <si>
    <t xml:space="preserve">scope / range</t>
  </si>
  <si>
    <t xml:space="preserve">範圍</t>
  </si>
  <si>
    <t xml:space="preserve">faan-wai</t>
  </si>
  <si>
    <t xml:space="preserve">Sino-Viet: phạm vi</t>
  </si>
  <si>
    <t xml:space="preserve">số lượng</t>
  </si>
  <si>
    <t xml:space="preserve">quantity</t>
  </si>
  <si>
    <t xml:space="preserve">數量</t>
  </si>
  <si>
    <t xml:space="preserve">sou-loeng</t>
  </si>
  <si>
    <t xml:space="preserve">Sino-Viet: số lượng</t>
  </si>
  <si>
    <t xml:space="preserve">tỷ lệ</t>
  </si>
  <si>
    <t xml:space="preserve">ratio / rate / percentage</t>
  </si>
  <si>
    <r>
      <rPr>
        <sz val="9"/>
        <color rgb="FF000000"/>
        <rFont val="Noto Sans CJK SC"/>
        <family val="2"/>
      </rPr>
      <t xml:space="preserve">比例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比率</t>
    </r>
  </si>
  <si>
    <t xml:space="preserve">bei-lai/bei-leot</t>
  </si>
  <si>
    <t xml:space="preserve">Sino-Viet: tỷ lệ</t>
  </si>
  <si>
    <t xml:space="preserve">mức độ</t>
  </si>
  <si>
    <t xml:space="preserve">level / degree</t>
  </si>
  <si>
    <t xml:space="preserve">程度</t>
  </si>
  <si>
    <t xml:space="preserve">cing-dou</t>
  </si>
  <si>
    <t xml:space="preserve">Sino-Viet: mức độ</t>
  </si>
  <si>
    <t xml:space="preserve">trình độ</t>
  </si>
  <si>
    <t xml:space="preserve">level (of skill/education)</t>
  </si>
  <si>
    <r>
      <rPr>
        <sz val="9"/>
        <color rgb="FF000000"/>
        <rFont val="Noto Sans CJK SC"/>
        <family val="2"/>
      </rPr>
      <t xml:space="preserve">水平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程度</t>
    </r>
  </si>
  <si>
    <t xml:space="preserve">seoi-ping/cing-dou</t>
  </si>
  <si>
    <t xml:space="preserve">hệ thống</t>
  </si>
  <si>
    <t xml:space="preserve">system</t>
  </si>
  <si>
    <t xml:space="preserve">系統</t>
  </si>
  <si>
    <t xml:space="preserve">hai-tung</t>
  </si>
  <si>
    <t xml:space="preserve">Sino-Viet: hệ thống</t>
  </si>
  <si>
    <t xml:space="preserve">cơ chế</t>
  </si>
  <si>
    <t xml:space="preserve">mechanism</t>
  </si>
  <si>
    <t xml:space="preserve">機制</t>
  </si>
  <si>
    <t xml:space="preserve">gei-zai</t>
  </si>
  <si>
    <t xml:space="preserve">Sino-Viet: cơ chế</t>
  </si>
  <si>
    <t xml:space="preserve">cấu trúc</t>
  </si>
  <si>
    <t xml:space="preserve">structure</t>
  </si>
  <si>
    <t xml:space="preserve">結構</t>
  </si>
  <si>
    <t xml:space="preserve">git-kau</t>
  </si>
  <si>
    <t xml:space="preserve">Sino-Viet: cấu trúc</t>
  </si>
  <si>
    <t xml:space="preserve">chức năng</t>
  </si>
  <si>
    <t xml:space="preserve">function</t>
  </si>
  <si>
    <t xml:space="preserve">功能</t>
  </si>
  <si>
    <t xml:space="preserve">gung-nang</t>
  </si>
  <si>
    <t xml:space="preserve">Sino-Viet: chức năng</t>
  </si>
  <si>
    <t xml:space="preserve">vai trò</t>
  </si>
  <si>
    <t xml:space="preserve">role</t>
  </si>
  <si>
    <t xml:space="preserve">角色</t>
  </si>
  <si>
    <t xml:space="preserve">gok-sik</t>
  </si>
  <si>
    <t xml:space="preserve">Sino-Viet: vai trò</t>
  </si>
  <si>
    <t xml:space="preserve">nhiệm vụ</t>
  </si>
  <si>
    <t xml:space="preserve">mission / task</t>
  </si>
  <si>
    <t xml:space="preserve">任務</t>
  </si>
  <si>
    <t xml:space="preserve">jam-mou</t>
  </si>
  <si>
    <t xml:space="preserve">Sino-Viet: nhiệm vụ</t>
  </si>
  <si>
    <t xml:space="preserve">quyền hạn</t>
  </si>
  <si>
    <t xml:space="preserve">authority / power</t>
  </si>
  <si>
    <t xml:space="preserve">權限</t>
  </si>
  <si>
    <t xml:space="preserve">kyun-haan</t>
  </si>
  <si>
    <t xml:space="preserve">Sino-Viet: quyền hạn</t>
  </si>
  <si>
    <t xml:space="preserve">điều khoản</t>
  </si>
  <si>
    <t xml:space="preserve">clause / term (contract)</t>
  </si>
  <si>
    <t xml:space="preserve">條款</t>
  </si>
  <si>
    <t xml:space="preserve">tiu-fun</t>
  </si>
  <si>
    <t xml:space="preserve">Sino-Viet: điều khoản</t>
  </si>
  <si>
    <t xml:space="preserve">thỏa thuận</t>
  </si>
  <si>
    <t xml:space="preserve">agreement</t>
  </si>
  <si>
    <t xml:space="preserve">協議</t>
  </si>
  <si>
    <t xml:space="preserve">hip-ji</t>
  </si>
  <si>
    <t xml:space="preserve">cam kết</t>
  </si>
  <si>
    <t xml:space="preserve">commitment</t>
  </si>
  <si>
    <t xml:space="preserve">承諾</t>
  </si>
  <si>
    <t xml:space="preserve">sing-nok</t>
  </si>
  <si>
    <t xml:space="preserve">Sino-Viet: cam kết</t>
  </si>
  <si>
    <t xml:space="preserve">vẫn</t>
  </si>
  <si>
    <t xml:space="preserve">still / yet (continuing)</t>
  </si>
  <si>
    <r>
      <rPr>
        <sz val="9"/>
        <color rgb="FF000000"/>
        <rFont val="Noto Sans CJK SC"/>
        <family val="2"/>
      </rPr>
      <t xml:space="preserve">仍然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依然</t>
    </r>
  </si>
  <si>
    <t xml:space="preserve">jing-jin/ji-jin</t>
  </si>
  <si>
    <t xml:space="preserve">just / only then</t>
  </si>
  <si>
    <t xml:space="preserve">才</t>
  </si>
  <si>
    <t xml:space="preserve">coi</t>
  </si>
  <si>
    <t xml:space="preserve">đã...rồi</t>
  </si>
  <si>
    <t xml:space="preserve">already done</t>
  </si>
  <si>
    <r>
      <rPr>
        <sz val="9"/>
        <color rgb="FF000000"/>
        <rFont val="Noto Sans CJK SC"/>
        <family val="2"/>
      </rPr>
      <t xml:space="preserve">已經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了</t>
    </r>
  </si>
  <si>
    <t xml:space="preserve">ji-ging...liu</t>
  </si>
  <si>
    <t xml:space="preserve">past completion</t>
  </si>
  <si>
    <t xml:space="preserve">sắp</t>
  </si>
  <si>
    <t xml:space="preserve">about to / soon</t>
  </si>
  <si>
    <r>
      <rPr>
        <sz val="9"/>
        <color rgb="FF000000"/>
        <rFont val="Noto Sans CJK SC"/>
        <family val="2"/>
      </rPr>
      <t xml:space="preserve">快要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即將</t>
    </r>
  </si>
  <si>
    <t xml:space="preserve">faai-jiu/zik-zoeng</t>
  </si>
  <si>
    <t xml:space="preserve">chưa bao giờ</t>
  </si>
  <si>
    <t xml:space="preserve">have never</t>
  </si>
  <si>
    <r>
      <rPr>
        <sz val="9"/>
        <color rgb="FF000000"/>
        <rFont val="Noto Sans CJK SC"/>
        <family val="2"/>
      </rPr>
      <t xml:space="preserve">從未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從來沒有</t>
    </r>
  </si>
  <si>
    <t xml:space="preserve">cung-mei/cung-loi-mut-jau</t>
  </si>
  <si>
    <t xml:space="preserve">vừa mới</t>
  </si>
  <si>
    <t xml:space="preserve">just (recently)</t>
  </si>
  <si>
    <t xml:space="preserve">từng</t>
  </si>
  <si>
    <t xml:space="preserve">have once / used to</t>
  </si>
  <si>
    <t xml:space="preserve">曾經</t>
  </si>
  <si>
    <t xml:space="preserve">cang-ging</t>
  </si>
  <si>
    <t xml:space="preserve">cứ</t>
  </si>
  <si>
    <t xml:space="preserve">keep doing / go ahead</t>
  </si>
  <si>
    <t xml:space="preserve">就</t>
  </si>
  <si>
    <t xml:space="preserve">thôi</t>
  </si>
  <si>
    <t xml:space="preserve">that's all / just</t>
  </si>
  <si>
    <r>
      <rPr>
        <sz val="9"/>
        <color rgb="FF000000"/>
        <rFont val="Noto Sans CJK SC"/>
        <family val="2"/>
      </rPr>
      <t xml:space="preserve">就好了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算了</t>
    </r>
  </si>
  <si>
    <t xml:space="preserve">zau-hou-liu/syun-liu</t>
  </si>
  <si>
    <t xml:space="preserve">sentence-final</t>
  </si>
  <si>
    <t xml:space="preserve">nhé</t>
  </si>
  <si>
    <t xml:space="preserve">okay? (seeking agreement)</t>
  </si>
  <si>
    <r>
      <rPr>
        <sz val="9"/>
        <color rgb="FF000000"/>
        <rFont val="Noto Sans CJK SC"/>
        <family val="2"/>
      </rPr>
      <t xml:space="preserve">好嗎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啦</t>
    </r>
  </si>
  <si>
    <t xml:space="preserve">hou-maa/laa</t>
  </si>
  <si>
    <t xml:space="preserve">you know / but</t>
  </si>
  <si>
    <r>
      <rPr>
        <sz val="9"/>
        <color rgb="FF000000"/>
        <rFont val="Noto Sans CJK SC"/>
        <family val="2"/>
      </rPr>
      <t xml:space="preserve">嘛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但</t>
    </r>
  </si>
  <si>
    <t xml:space="preserve">maa/daan</t>
  </si>
  <si>
    <t xml:space="preserve">discourse particle</t>
  </si>
  <si>
    <t xml:space="preserve">ấy</t>
  </si>
  <si>
    <t xml:space="preserve">that (demonstrative)</t>
  </si>
  <si>
    <t xml:space="preserve">那個</t>
  </si>
  <si>
    <t xml:space="preserve">go-go</t>
  </si>
  <si>
    <t xml:space="preserve">này</t>
  </si>
  <si>
    <t xml:space="preserve">this</t>
  </si>
  <si>
    <t xml:space="preserve">這個</t>
  </si>
  <si>
    <t xml:space="preserve">ni-go</t>
  </si>
  <si>
    <t xml:space="preserve">kia</t>
  </si>
  <si>
    <t xml:space="preserve">that (further away)</t>
  </si>
  <si>
    <r>
      <rPr>
        <sz val="9"/>
        <color rgb="FF000000"/>
        <rFont val="Noto Sans CJK SC"/>
        <family val="2"/>
      </rPr>
      <t xml:space="preserve">那個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更遠</t>
    </r>
    <r>
      <rPr>
        <sz val="9"/>
        <color rgb="FF000000"/>
        <rFont val="Arial"/>
        <family val="0"/>
        <charset val="1"/>
      </rPr>
      <t xml:space="preserve">)</t>
    </r>
  </si>
  <si>
    <t xml:space="preserve">go-go-gang-jyun</t>
  </si>
  <si>
    <t xml:space="preserve">nhau</t>
  </si>
  <si>
    <t xml:space="preserve">each other / together</t>
  </si>
  <si>
    <r>
      <rPr>
        <sz val="9"/>
        <color rgb="FF000000"/>
        <rFont val="Noto Sans CJK SC"/>
        <family val="2"/>
      </rPr>
      <t xml:space="preserve">互相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彼此</t>
    </r>
  </si>
  <si>
    <t xml:space="preserve">wu-soeng/bei-ci</t>
  </si>
  <si>
    <t xml:space="preserve">reciprocal</t>
  </si>
  <si>
    <t xml:space="preserve">càng ngày càng</t>
  </si>
  <si>
    <t xml:space="preserve">more and more (over time)</t>
  </si>
  <si>
    <t xml:space="preserve">越來越</t>
  </si>
  <si>
    <t xml:space="preserve">jyut-loi-jyut</t>
  </si>
  <si>
    <t xml:space="preserve">ngay cả</t>
  </si>
  <si>
    <t xml:space="preserve">even (inclusive)</t>
  </si>
  <si>
    <t xml:space="preserve">甚至連</t>
  </si>
  <si>
    <t xml:space="preserve">sam-zi-lin</t>
  </si>
  <si>
    <t xml:space="preserve">bất kỳ</t>
  </si>
  <si>
    <t xml:space="preserve">any / whatever</t>
  </si>
  <si>
    <t xml:space="preserve">任何</t>
  </si>
  <si>
    <t xml:space="preserve">jam-ho</t>
  </si>
  <si>
    <t xml:space="preserve">Sino-Viet: bất kỳ</t>
  </si>
  <si>
    <t xml:space="preserve">tất cả</t>
  </si>
  <si>
    <t xml:space="preserve">all / everything</t>
  </si>
  <si>
    <r>
      <rPr>
        <sz val="9"/>
        <color rgb="FF000000"/>
        <rFont val="Noto Sans CJK SC"/>
        <family val="2"/>
      </rPr>
      <t xml:space="preserve">所有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全部</t>
    </r>
  </si>
  <si>
    <t xml:space="preserve">so-jau/cyun-bou</t>
  </si>
  <si>
    <t xml:space="preserve">mỗi</t>
  </si>
  <si>
    <t xml:space="preserve">each / every</t>
  </si>
  <si>
    <t xml:space="preserve">每</t>
  </si>
  <si>
    <t xml:space="preserve">mui</t>
  </si>
  <si>
    <t xml:space="preserve">một số</t>
  </si>
  <si>
    <t xml:space="preserve">some / several</t>
  </si>
  <si>
    <t xml:space="preserve">一些</t>
  </si>
  <si>
    <t xml:space="preserve">jat-di</t>
  </si>
  <si>
    <t xml:space="preserve">hầu hết</t>
  </si>
  <si>
    <t xml:space="preserve">most / almost all</t>
  </si>
  <si>
    <t xml:space="preserve">大多數</t>
  </si>
  <si>
    <t xml:space="preserve">daai-do-sou</t>
  </si>
  <si>
    <t xml:space="preserve">phần lớn</t>
  </si>
  <si>
    <t xml:space="preserve">the majority / most of</t>
  </si>
  <si>
    <t xml:space="preserve">大部分</t>
  </si>
  <si>
    <t xml:space="preserve">daai-bou-fan</t>
  </si>
  <si>
    <t xml:space="preserve">như vậy</t>
  </si>
  <si>
    <t xml:space="preserve">like that / such</t>
  </si>
  <si>
    <r>
      <rPr>
        <sz val="9"/>
        <color rgb="FF000000"/>
        <rFont val="Noto Sans CJK SC"/>
        <family val="2"/>
      </rPr>
      <t xml:space="preserve">這樣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如此</t>
    </r>
  </si>
  <si>
    <t xml:space="preserve">ni-joeng/jyu-ci</t>
  </si>
  <si>
    <t xml:space="preserve">như thế</t>
  </si>
  <si>
    <t xml:space="preserve">like that / that way</t>
  </si>
  <si>
    <t xml:space="preserve">那樣</t>
  </si>
  <si>
    <t xml:space="preserve">go-joeng</t>
  </si>
  <si>
    <t xml:space="preserve">dường như</t>
  </si>
  <si>
    <t xml:space="preserve">it seems / apparently</t>
  </si>
  <si>
    <r>
      <rPr>
        <sz val="9"/>
        <color rgb="FF000000"/>
        <rFont val="Noto Sans CJK SC"/>
        <family val="2"/>
      </rPr>
      <t xml:space="preserve">似乎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看來</t>
    </r>
  </si>
  <si>
    <t xml:space="preserve">ci-fu/hon-loi</t>
  </si>
  <si>
    <t xml:space="preserve">chắc là</t>
  </si>
  <si>
    <t xml:space="preserve">probably / likely</t>
  </si>
  <si>
    <r>
      <rPr>
        <sz val="9"/>
        <color rgb="FF000000"/>
        <rFont val="Noto Sans CJK SC"/>
        <family val="2"/>
      </rPr>
      <t xml:space="preserve">大概是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應該是</t>
    </r>
  </si>
  <si>
    <t xml:space="preserve">daai-koi-si/jing-goi-si</t>
  </si>
  <si>
    <t xml:space="preserve">có vẻ</t>
  </si>
  <si>
    <t xml:space="preserve">seems / appears</t>
  </si>
  <si>
    <r>
      <rPr>
        <sz val="9"/>
        <color rgb="FF000000"/>
        <rFont val="Noto Sans CJK SC"/>
        <family val="2"/>
      </rPr>
      <t xml:space="preserve">好像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看起來</t>
    </r>
  </si>
  <si>
    <t xml:space="preserve">hou-zoeng/hon-hei-loi</t>
  </si>
  <si>
    <t xml:space="preserve">bất ngờ</t>
  </si>
  <si>
    <t xml:space="preserve">unexpected / sudden</t>
  </si>
  <si>
    <r>
      <rPr>
        <sz val="9"/>
        <color rgb="FF000000"/>
        <rFont val="Noto Sans CJK SC"/>
        <family val="2"/>
      </rPr>
      <t xml:space="preserve">意外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突然</t>
    </r>
  </si>
  <si>
    <t xml:space="preserve">ji-ngoi/dat-jin</t>
  </si>
  <si>
    <t xml:space="preserve">Sino-Viet: bất ngờ</t>
  </si>
  <si>
    <t xml:space="preserve">cuối cùng</t>
  </si>
  <si>
    <t xml:space="preserve">finally / in the end</t>
  </si>
  <si>
    <r>
      <rPr>
        <sz val="9"/>
        <color rgb="FF000000"/>
        <rFont val="Noto Sans CJK SC"/>
        <family val="2"/>
      </rPr>
      <t xml:space="preserve">最終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最後</t>
    </r>
  </si>
  <si>
    <t xml:space="preserve">zeoi-zung/zeoi-hau</t>
  </si>
  <si>
    <t xml:space="preserve">lần lượt</t>
  </si>
  <si>
    <t xml:space="preserve">one by one / in turn</t>
  </si>
  <si>
    <t xml:space="preserve">依次</t>
  </si>
  <si>
    <t xml:space="preserve">ji-ci</t>
  </si>
  <si>
    <t xml:space="preserve">đồng thời</t>
  </si>
  <si>
    <t xml:space="preserve">simultaneously / at the same time</t>
  </si>
  <si>
    <t xml:space="preserve">同時</t>
  </si>
  <si>
    <t xml:space="preserve">Sino-Viet: đồng thời</t>
  </si>
  <si>
    <t xml:space="preserve">Có công mài sắt, có ngày nên kim</t>
  </si>
  <si>
    <t xml:space="preserve">Where there's a will, there's a way</t>
  </si>
  <si>
    <t xml:space="preserve">有志者事竟成</t>
  </si>
  <si>
    <t xml:space="preserve">jau-zi-ze-si-ging-sing</t>
  </si>
  <si>
    <t xml:space="preserve">lit: if you polish iron, you'll make a needle</t>
  </si>
  <si>
    <t xml:space="preserve">Học ăn, học nói, học gói, học mở</t>
  </si>
  <si>
    <t xml:space="preserve">Learn manners before learning words</t>
  </si>
  <si>
    <t xml:space="preserve">學禮儀比學說話更重要</t>
  </si>
  <si>
    <t xml:space="preserve">hok-lai-ji-bei-hok-syut-waa-gang-zung-jiu</t>
  </si>
  <si>
    <t xml:space="preserve">classic Vietnamese saying on etiquette</t>
  </si>
  <si>
    <t xml:space="preserve">Một con ngựa đau, cả tàu bỏ cỏ</t>
  </si>
  <si>
    <t xml:space="preserve">One for all, all for one (solidarity)</t>
  </si>
  <si>
    <t xml:space="preserve">一人受苦，眾人同情</t>
  </si>
  <si>
    <t xml:space="preserve">jat-jan-sau-fu-zung-jan-tung-cing</t>
  </si>
  <si>
    <t xml:space="preserve">lit: one sick horse, all stop eating</t>
  </si>
  <si>
    <t xml:space="preserve">Lời nói chẳng mất tiền mua</t>
  </si>
  <si>
    <t xml:space="preserve">Words are free, choose them well</t>
  </si>
  <si>
    <t xml:space="preserve">言語不費錢，要好好說話</t>
  </si>
  <si>
    <t xml:space="preserve">jin-jyu-bat-fai-cin-jiu-hou-hou-syut-waa</t>
  </si>
  <si>
    <t xml:space="preserve">about being kind with words</t>
  </si>
  <si>
    <t xml:space="preserve">Ăn quả nhớ kẻ trồng cây</t>
  </si>
  <si>
    <t xml:space="preserve">Remember those who came before you</t>
  </si>
  <si>
    <t xml:space="preserve">飲水思源</t>
  </si>
  <si>
    <t xml:space="preserve">jam-seoi-si-jyun</t>
  </si>
  <si>
    <t xml:space="preserve">lit: eating fruit, remember who planted the tree</t>
  </si>
  <si>
    <t xml:space="preserve">Gần mực thì đen, gần đèn thì sáng</t>
  </si>
  <si>
    <t xml:space="preserve">You are the company you keep</t>
  </si>
  <si>
    <t xml:space="preserve">近朱者赤，近墨者黑</t>
  </si>
  <si>
    <t xml:space="preserve">kan-zyu-ze-cek-kan-mak-ze-hak</t>
  </si>
  <si>
    <t xml:space="preserve">exactly matches Chinese proverb</t>
  </si>
  <si>
    <t xml:space="preserve">Thương người như thể thương thân</t>
  </si>
  <si>
    <t xml:space="preserve">Love others as you love yourself</t>
  </si>
  <si>
    <t xml:space="preserve">愛人如己</t>
  </si>
  <si>
    <t xml:space="preserve">oi-jan-jyu-gei</t>
  </si>
  <si>
    <t xml:space="preserve">Vietnamese version of golden rule</t>
  </si>
  <si>
    <t xml:space="preserve">Đi một ngày đàng học một sàng khôn</t>
  </si>
  <si>
    <t xml:space="preserve">Travel broadens the mind</t>
  </si>
  <si>
    <t xml:space="preserve">讀萬卷書不如行萬里路</t>
  </si>
  <si>
    <t xml:space="preserve">duk-maan-gyun-syu-bat-jyu-haang-maan-lei-lou</t>
  </si>
  <si>
    <t xml:space="preserve">lit: travel one day, gain a basket of wisdom</t>
  </si>
  <si>
    <t xml:space="preserve">Trăm hay không bằng tay quen</t>
  </si>
  <si>
    <t xml:space="preserve">Practice makes perfect</t>
  </si>
  <si>
    <t xml:space="preserve">熟能生巧</t>
  </si>
  <si>
    <t xml:space="preserve">suk-nang-saang-haau</t>
  </si>
  <si>
    <t xml:space="preserve">lit: 100 knows isn't as good as a practiced hand</t>
  </si>
  <si>
    <t xml:space="preserve">Không có lửa sao có khói</t>
  </si>
  <si>
    <t xml:space="preserve">Where there's smoke there's fire</t>
  </si>
  <si>
    <t xml:space="preserve">無風不起浪</t>
  </si>
  <si>
    <t xml:space="preserve">mou-fung-bat-hei-long</t>
  </si>
  <si>
    <t xml:space="preserve">lit: no fire, no smoke</t>
  </si>
  <si>
    <t xml:space="preserve">nước đổ lá khoai</t>
  </si>
  <si>
    <t xml:space="preserve">to fall on deaf ears / wasted effort</t>
  </si>
  <si>
    <t xml:space="preserve">對牛彈琴</t>
  </si>
  <si>
    <t xml:space="preserve">deoi-ngau-taan-kam</t>
  </si>
  <si>
    <t xml:space="preserve">lit: water poured on taro leaf - nothing sticks</t>
  </si>
  <si>
    <t xml:space="preserve">đứng núi này trông núi nọ</t>
  </si>
  <si>
    <t xml:space="preserve">the grass is always greener</t>
  </si>
  <si>
    <t xml:space="preserve">這山望著那山高</t>
  </si>
  <si>
    <t xml:space="preserve">ni-saan-mong-zoek-go-saan-gou</t>
  </si>
  <si>
    <t xml:space="preserve">lit: standing on this mountain, looking at that one</t>
  </si>
  <si>
    <t xml:space="preserve">nước chảy chỗ trũng</t>
  </si>
  <si>
    <t xml:space="preserve">money goes to money / rich get richer</t>
  </si>
  <si>
    <t xml:space="preserve">水往低處流</t>
  </si>
  <si>
    <t xml:space="preserve">seoi-wong-dai-cyu-lau</t>
  </si>
  <si>
    <t xml:space="preserve">lit: water flows to low ground</t>
  </si>
  <si>
    <t xml:space="preserve">bắt cá hai tay</t>
  </si>
  <si>
    <t xml:space="preserve">to have it both ways / two-timing</t>
  </si>
  <si>
    <t xml:space="preserve">腳踏兩條船</t>
  </si>
  <si>
    <t xml:space="preserve">goek-daap-loeng-tiu-syun</t>
  </si>
  <si>
    <t xml:space="preserve">lit: catch fish with both hands</t>
  </si>
  <si>
    <t xml:space="preserve">năm châu bốn biển</t>
  </si>
  <si>
    <t xml:space="preserve">all over the world</t>
  </si>
  <si>
    <t xml:space="preserve">五洲四海</t>
  </si>
  <si>
    <t xml:space="preserve">ng-zau-sei-hoi</t>
  </si>
  <si>
    <t xml:space="preserve">Sino-Viet: ngũ châu tứ hải</t>
  </si>
  <si>
    <t xml:space="preserve">chín người mười ý</t>
  </si>
  <si>
    <t xml:space="preserve">too many cooks / everyone has an opinion</t>
  </si>
  <si>
    <t xml:space="preserve">眾口難調</t>
  </si>
  <si>
    <t xml:space="preserve">zung-hau-naan-tiu</t>
  </si>
  <si>
    <t xml:space="preserve">lit: 9 people, 10 opinions</t>
  </si>
  <si>
    <t xml:space="preserve">Kính gửi</t>
  </si>
  <si>
    <t xml:space="preserve">Dear (formal letter opening)</t>
  </si>
  <si>
    <t xml:space="preserve">敬啟者</t>
  </si>
  <si>
    <t xml:space="preserve">ging-kai-ze</t>
  </si>
  <si>
    <t xml:space="preserve">formal letter salutation</t>
  </si>
  <si>
    <t xml:space="preserve">Trân trọng</t>
  </si>
  <si>
    <t xml:space="preserve">Respectfully / Sincerely (closing)</t>
  </si>
  <si>
    <r>
      <rPr>
        <sz val="9"/>
        <color rgb="FF000000"/>
        <rFont val="Noto Sans CJK SC"/>
        <family val="2"/>
      </rPr>
      <t xml:space="preserve">謹啟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敬上</t>
    </r>
  </si>
  <si>
    <t xml:space="preserve">gan-kai/ging-soeng</t>
  </si>
  <si>
    <t xml:space="preserve">Sino-Viet: trân trọng</t>
  </si>
  <si>
    <t xml:space="preserve">Theo quy định</t>
  </si>
  <si>
    <t xml:space="preserve">In accordance with regulations</t>
  </si>
  <si>
    <t xml:space="preserve">根據規定</t>
  </si>
  <si>
    <t xml:space="preserve">gan-geoi-kwai-ding</t>
  </si>
  <si>
    <t xml:space="preserve">Căn cứ vào</t>
  </si>
  <si>
    <t xml:space="preserve">Based on / With reference to</t>
  </si>
  <si>
    <r>
      <rPr>
        <sz val="9"/>
        <color rgb="FF000000"/>
        <rFont val="Noto Sans CJK SC"/>
        <family val="2"/>
      </rPr>
      <t xml:space="preserve">根據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基於</t>
    </r>
  </si>
  <si>
    <t xml:space="preserve">gan-geoi/gei-jyu</t>
  </si>
  <si>
    <t xml:space="preserve">Nhằm mục đích</t>
  </si>
  <si>
    <t xml:space="preserve">For the purpose of</t>
  </si>
  <si>
    <t xml:space="preserve">為了達到目的</t>
  </si>
  <si>
    <t xml:space="preserve">wai-liu-daat-dou-muk-dik</t>
  </si>
  <si>
    <t xml:space="preserve">Theo đề nghị</t>
  </si>
  <si>
    <t xml:space="preserve">As per request</t>
  </si>
  <si>
    <t xml:space="preserve">應要求</t>
  </si>
  <si>
    <t xml:space="preserve">jing-jiu-kau</t>
  </si>
  <si>
    <t xml:space="preserve">Kính mong</t>
  </si>
  <si>
    <t xml:space="preserve">I respectfully hope / request</t>
  </si>
  <si>
    <t xml:space="preserve">懇請</t>
  </si>
  <si>
    <t xml:space="preserve">han-cing</t>
  </si>
  <si>
    <t xml:space="preserve">Sino-Viet: kính mong</t>
  </si>
  <si>
    <t xml:space="preserve">nêu rõ</t>
  </si>
  <si>
    <t xml:space="preserve">to clearly state / specify</t>
  </si>
  <si>
    <r>
      <rPr>
        <sz val="9"/>
        <color rgb="FF000000"/>
        <rFont val="Noto Sans CJK SC"/>
        <family val="2"/>
      </rPr>
      <t xml:space="preserve">列明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說明</t>
    </r>
  </si>
  <si>
    <t xml:space="preserve">lit-ming/syut-ming</t>
  </si>
  <si>
    <t xml:space="preserve">liên quan đến</t>
  </si>
  <si>
    <t xml:space="preserve">related to / pertaining to</t>
  </si>
  <si>
    <r>
      <rPr>
        <sz val="9"/>
        <color rgb="FF000000"/>
        <rFont val="Noto Sans CJK SC"/>
        <family val="2"/>
      </rPr>
      <t xml:space="preserve">有關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關於</t>
    </r>
  </si>
  <si>
    <t xml:space="preserve">jau-gwaan/gwaan-jyu</t>
  </si>
  <si>
    <t xml:space="preserve">đề cập đến</t>
  </si>
  <si>
    <t xml:space="preserve">to mention / refer to</t>
  </si>
  <si>
    <r>
      <rPr>
        <sz val="9"/>
        <color rgb="FF000000"/>
        <rFont val="Noto Sans CJK SC"/>
        <family val="2"/>
      </rPr>
      <t xml:space="preserve">提及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談及</t>
    </r>
  </si>
  <si>
    <t xml:space="preserve">tai-kap/taam-kap</t>
  </si>
  <si>
    <t xml:space="preserve">được quy định tại</t>
  </si>
  <si>
    <t xml:space="preserve">as stipulated in</t>
  </si>
  <si>
    <t xml:space="preserve">規定於</t>
  </si>
  <si>
    <t xml:space="preserve">kwai-ding-jyu</t>
  </si>
  <si>
    <t xml:space="preserve">có hiệu lực từ</t>
  </si>
  <si>
    <t xml:space="preserve">effective from</t>
  </si>
  <si>
    <r>
      <rPr>
        <sz val="9"/>
        <color rgb="FF000000"/>
        <rFont val="Noto Sans CJK SC"/>
        <family val="2"/>
      </rPr>
      <t xml:space="preserve">自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起生效</t>
    </r>
  </si>
  <si>
    <t xml:space="preserve">zi...hei-saang-haau</t>
  </si>
  <si>
    <t xml:space="preserve">chịu trách nhiệm</t>
  </si>
  <si>
    <t xml:space="preserve">to be responsible for</t>
  </si>
  <si>
    <t xml:space="preserve">thông qua</t>
  </si>
  <si>
    <t xml:space="preserve">through / via / to pass (resolution)</t>
  </si>
  <si>
    <t xml:space="preserve">通過</t>
  </si>
  <si>
    <t xml:space="preserve">tung-gwo</t>
  </si>
  <si>
    <t xml:space="preserve">Sino-Viet: thông qua</t>
  </si>
  <si>
    <t xml:space="preserve">trên cơ sở</t>
  </si>
  <si>
    <t xml:space="preserve">on the basis of</t>
  </si>
  <si>
    <r>
      <rPr>
        <sz val="9"/>
        <color rgb="FF000000"/>
        <rFont val="Noto Sans CJK SC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基礎上</t>
    </r>
  </si>
  <si>
    <t xml:space="preserve">zoi...gei-co-soeng</t>
  </si>
  <si>
    <t xml:space="preserve">nói tóm lại</t>
  </si>
  <si>
    <t xml:space="preserve">in summary / to sum up</t>
  </si>
  <si>
    <t xml:space="preserve">總結來說</t>
  </si>
  <si>
    <t xml:space="preserve">zung-git-loi-syut</t>
  </si>
  <si>
    <t xml:space="preserve">đề xuất giải pháp</t>
  </si>
  <si>
    <t xml:space="preserve">to propose solutions</t>
  </si>
  <si>
    <t xml:space="preserve">提出解決方案</t>
  </si>
  <si>
    <t xml:space="preserve">tai-ceot-gaai-kyut-fong-on</t>
  </si>
  <si>
    <t xml:space="preserve">Thôi được rồi</t>
  </si>
  <si>
    <t xml:space="preserve">Alright then / Okay fine</t>
  </si>
  <si>
    <r>
      <rPr>
        <sz val="9"/>
        <color rgb="FF000000"/>
        <rFont val="Noto Sans CJK SC"/>
        <family val="2"/>
      </rPr>
      <t xml:space="preserve">好吧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算了</t>
    </r>
  </si>
  <si>
    <t xml:space="preserve">hou-baa/syun-liu</t>
  </si>
  <si>
    <t xml:space="preserve">very common in Saigon</t>
  </si>
  <si>
    <t xml:space="preserve">Ừ thì</t>
  </si>
  <si>
    <t xml:space="preserve">Well then... / Yeah so...</t>
  </si>
  <si>
    <r>
      <rPr>
        <sz val="9"/>
        <color rgb="FF000000"/>
        <rFont val="Noto Sans CJK SC"/>
        <family val="2"/>
      </rPr>
      <t xml:space="preserve">那麼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好啊</t>
    </r>
  </si>
  <si>
    <t xml:space="preserve">naa-mo/hou-aa</t>
  </si>
  <si>
    <t xml:space="preserve">casual connective</t>
  </si>
  <si>
    <t xml:space="preserve">Ý tôi muốn nói là</t>
  </si>
  <si>
    <t xml:space="preserve">What I mean is</t>
  </si>
  <si>
    <t xml:space="preserve">我的意思是</t>
  </si>
  <si>
    <t xml:space="preserve">Hồi đó</t>
  </si>
  <si>
    <t xml:space="preserve">Back then / In those days</t>
  </si>
  <si>
    <r>
      <rPr>
        <sz val="9"/>
        <color rgb="FF000000"/>
        <rFont val="Noto Sans CJK SC"/>
        <family val="2"/>
      </rPr>
      <t xml:space="preserve">那時候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以前</t>
    </r>
  </si>
  <si>
    <t xml:space="preserve">go-si-hau/ji-cin</t>
  </si>
  <si>
    <t xml:space="preserve">Southern casual past ref</t>
  </si>
  <si>
    <t xml:space="preserve">Coi chừng!</t>
  </si>
  <si>
    <t xml:space="preserve">Watch out! / Be careful!</t>
  </si>
  <si>
    <r>
      <rPr>
        <sz val="9"/>
        <color rgb="FF000000"/>
        <rFont val="Noto Sans CJK SC"/>
        <family val="2"/>
      </rPr>
      <t xml:space="preserve">小心</t>
    </r>
    <r>
      <rPr>
        <sz val="9"/>
        <color rgb="FF000000"/>
        <rFont val="Arial"/>
        <family val="0"/>
        <charset val="1"/>
      </rPr>
      <t xml:space="preserve">!</t>
    </r>
  </si>
  <si>
    <t xml:space="preserve">siu-sam</t>
  </si>
  <si>
    <t xml:space="preserve">Southern warning expression</t>
  </si>
  <si>
    <t xml:space="preserve">Mắc gì vậy?</t>
  </si>
  <si>
    <t xml:space="preserve">Why? / What's wrong with that?</t>
  </si>
  <si>
    <r>
      <rPr>
        <sz val="9"/>
        <color rgb="FF000000"/>
        <rFont val="Noto Sans CJK SC"/>
        <family val="2"/>
      </rPr>
      <t xml:space="preserve">幹嗎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怎麼了</t>
    </r>
  </si>
  <si>
    <t xml:space="preserve">gon-maa/dim-gaa-liu</t>
  </si>
  <si>
    <t xml:space="preserve">Southern casual</t>
  </si>
  <si>
    <t xml:space="preserve">Kỳ vậy?</t>
  </si>
  <si>
    <t xml:space="preserve">That's strange / Really?</t>
  </si>
  <si>
    <r>
      <rPr>
        <sz val="9"/>
        <color rgb="FF000000"/>
        <rFont val="Noto Sans CJK SC"/>
        <family val="2"/>
      </rPr>
      <t xml:space="preserve">奇怪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真的嗎</t>
    </r>
  </si>
  <si>
    <t xml:space="preserve">kei-gwaai/zan-ge-maa</t>
  </si>
  <si>
    <t xml:space="preserve">Southern expression</t>
  </si>
  <si>
    <t xml:space="preserve">Thôi kệ</t>
  </si>
  <si>
    <t xml:space="preserve">Never mind / Let it go</t>
  </si>
  <si>
    <r>
      <rPr>
        <sz val="9"/>
        <color rgb="FF000000"/>
        <rFont val="Noto Sans CJK SC"/>
        <family val="2"/>
      </rPr>
      <t xml:space="preserve">算了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隨便</t>
    </r>
  </si>
  <si>
    <t xml:space="preserve">syun-liu/ceoi-bin</t>
  </si>
  <si>
    <t xml:space="preserve">very Southern</t>
  </si>
  <si>
    <t xml:space="preserve">Làm gì có!</t>
  </si>
  <si>
    <t xml:space="preserve">There's no way! / That's not possible!</t>
  </si>
  <si>
    <r>
      <rPr>
        <sz val="9"/>
        <color rgb="FF000000"/>
        <rFont val="Noto Sans CJK SC"/>
        <family val="2"/>
      </rPr>
      <t xml:space="preserve">怎麼可能</t>
    </r>
    <r>
      <rPr>
        <sz val="9"/>
        <color rgb="FF000000"/>
        <rFont val="Arial"/>
        <family val="0"/>
        <charset val="1"/>
      </rPr>
      <t xml:space="preserve">!</t>
    </r>
  </si>
  <si>
    <t xml:space="preserve">dim-ho-nang</t>
  </si>
  <si>
    <t xml:space="preserve">Hay quá!</t>
  </si>
  <si>
    <t xml:space="preserve">How great! / Awesome!</t>
  </si>
  <si>
    <r>
      <rPr>
        <sz val="9"/>
        <color rgb="FF000000"/>
        <rFont val="Noto Sans CJK SC"/>
        <family val="2"/>
      </rPr>
      <t xml:space="preserve">太棒了</t>
    </r>
    <r>
      <rPr>
        <sz val="9"/>
        <color rgb="FF000000"/>
        <rFont val="Arial"/>
        <family val="0"/>
        <charset val="1"/>
      </rPr>
      <t xml:space="preserve">!</t>
    </r>
  </si>
  <si>
    <t xml:space="preserve">taai-bong-liu</t>
  </si>
  <si>
    <t xml:space="preserve">enthusiastic Southern</t>
  </si>
  <si>
    <t xml:space="preserve">Dữ vậy!</t>
  </si>
  <si>
    <t xml:space="preserve">Wow / That's intense!</t>
  </si>
  <si>
    <r>
      <rPr>
        <sz val="9"/>
        <color rgb="FF000000"/>
        <rFont val="Noto Sans CJK SC"/>
        <family val="2"/>
      </rPr>
      <t xml:space="preserve">太厲害了</t>
    </r>
    <r>
      <rPr>
        <sz val="9"/>
        <color rgb="FF000000"/>
        <rFont val="Arial"/>
        <family val="0"/>
        <charset val="1"/>
      </rPr>
      <t xml:space="preserve">!</t>
    </r>
  </si>
  <si>
    <t xml:space="preserve">taai-leoi-hoi-liu</t>
  </si>
  <si>
    <t xml:space="preserve">Southern exclamation</t>
  </si>
  <si>
    <t xml:space="preserve">Thấy chưa?</t>
  </si>
  <si>
    <t xml:space="preserve">You see? / I told you so!</t>
  </si>
  <si>
    <r>
      <rPr>
        <sz val="9"/>
        <color rgb="FF000000"/>
        <rFont val="Noto Sans CJK SC"/>
        <family val="2"/>
      </rPr>
      <t xml:space="preserve">你看到了嗎</t>
    </r>
    <r>
      <rPr>
        <sz val="9"/>
        <color rgb="FF000000"/>
        <rFont val="Arial"/>
        <family val="0"/>
        <charset val="1"/>
      </rPr>
      <t xml:space="preserve">?/</t>
    </r>
    <r>
      <rPr>
        <sz val="9"/>
        <color rgb="FF000000"/>
        <rFont val="Noto Sans CJK SC"/>
        <family val="2"/>
      </rPr>
      <t xml:space="preserve">我說了吧</t>
    </r>
  </si>
  <si>
    <t xml:space="preserve">nei-hon-dou-liu-maa</t>
  </si>
  <si>
    <t xml:space="preserve">Tùy bạn</t>
  </si>
  <si>
    <t xml:space="preserve">Up to you / As you wish</t>
  </si>
  <si>
    <r>
      <rPr>
        <sz val="9"/>
        <color rgb="FF000000"/>
        <rFont val="Noto Sans CJK SC"/>
        <family val="2"/>
      </rPr>
      <t xml:space="preserve">隨你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由你</t>
    </r>
  </si>
  <si>
    <t xml:space="preserve">ceoi-nei/jau-nei</t>
  </si>
  <si>
    <t xml:space="preserve">Sao cũng được</t>
  </si>
  <si>
    <t xml:space="preserve">Either way is fine / Whatever</t>
  </si>
  <si>
    <r>
      <rPr>
        <sz val="9"/>
        <color rgb="FF000000"/>
        <rFont val="Noto Sans CJK SC"/>
        <family val="2"/>
      </rPr>
      <t xml:space="preserve">都無所謂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怎樣都可以</t>
    </r>
  </si>
  <si>
    <t xml:space="preserve">dou-mou-so-wai</t>
  </si>
  <si>
    <t xml:space="preserve">Nói chơi</t>
  </si>
  <si>
    <t xml:space="preserve">Just kidding</t>
  </si>
  <si>
    <t xml:space="preserve">開玩笑</t>
  </si>
  <si>
    <t xml:space="preserve">hoi-waan-siu</t>
  </si>
  <si>
    <t xml:space="preserve">Dzui ghê!</t>
  </si>
  <si>
    <t xml:space="preserve">So fun! / So happy!</t>
  </si>
  <si>
    <r>
      <rPr>
        <sz val="9"/>
        <color rgb="FF000000"/>
        <rFont val="Noto Sans CJK SC"/>
        <family val="2"/>
      </rPr>
      <t xml:space="preserve">好好玩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好開心</t>
    </r>
  </si>
  <si>
    <t xml:space="preserve">hou-hou-waan/hou-hoi-sam</t>
  </si>
  <si>
    <t xml:space="preserve">dz- is Southern pronunciation of gi-</t>
  </si>
  <si>
    <t xml:space="preserve">Hổng biết</t>
  </si>
  <si>
    <t xml:space="preserve">Don't know (Southern)</t>
  </si>
  <si>
    <t xml:space="preserve">不知道</t>
  </si>
  <si>
    <t xml:space="preserve">m-zi-dou</t>
  </si>
  <si>
    <t xml:space="preserve">hổng = không in South</t>
  </si>
  <si>
    <t xml:space="preserve">Giờ này</t>
  </si>
  <si>
    <t xml:space="preserve">Right now / at this time</t>
  </si>
  <si>
    <r>
      <rPr>
        <sz val="9"/>
        <color rgb="FF000000"/>
        <rFont val="Noto Sans CJK SC"/>
        <family val="2"/>
      </rPr>
      <t xml:space="preserve">現在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這時候</t>
    </r>
  </si>
  <si>
    <t xml:space="preserve">jin-zoi/ni-si-hau</t>
  </si>
  <si>
    <t xml:space="preserve">Ăn cơm chưa?</t>
  </si>
  <si>
    <t xml:space="preserve">Have you eaten? (greeting)</t>
  </si>
  <si>
    <r>
      <rPr>
        <sz val="9"/>
        <color rgb="FF000000"/>
        <rFont val="Noto Sans CJK SC"/>
        <family val="2"/>
      </rPr>
      <t xml:space="preserve">吃飯了嗎</t>
    </r>
    <r>
      <rPr>
        <sz val="9"/>
        <color rgb="FF000000"/>
        <rFont val="Arial"/>
        <family val="0"/>
        <charset val="1"/>
      </rPr>
      <t xml:space="preserve">?</t>
    </r>
  </si>
  <si>
    <t xml:space="preserve">sik-faan-liu-maa</t>
  </si>
  <si>
    <t xml:space="preserve">common Vietnamese greeting</t>
  </si>
  <si>
    <t xml:space="preserve">Vô đây!</t>
  </si>
  <si>
    <t xml:space="preserve">Come in here! / Come here!</t>
  </si>
  <si>
    <r>
      <rPr>
        <sz val="9"/>
        <color rgb="FF000000"/>
        <rFont val="Noto Sans CJK SC"/>
        <family val="2"/>
      </rPr>
      <t xml:space="preserve">進來</t>
    </r>
    <r>
      <rPr>
        <sz val="9"/>
        <color rgb="FF000000"/>
        <rFont val="Arial"/>
        <family val="0"/>
        <charset val="1"/>
      </rPr>
      <t xml:space="preserve">!/</t>
    </r>
    <r>
      <rPr>
        <sz val="9"/>
        <color rgb="FF000000"/>
        <rFont val="Noto Sans CJK SC"/>
        <family val="2"/>
      </rPr>
      <t xml:space="preserve">過來</t>
    </r>
    <r>
      <rPr>
        <sz val="9"/>
        <color rgb="FF000000"/>
        <rFont val="Arial"/>
        <family val="0"/>
        <charset val="1"/>
      </rPr>
      <t xml:space="preserve">!</t>
    </r>
  </si>
  <si>
    <t xml:space="preserve">zeon-loi/gwo-loi</t>
  </si>
  <si>
    <t xml:space="preserve">vô = vào in South</t>
  </si>
  <si>
    <t xml:space="preserve">Tôi đồng ý với quan điểm</t>
  </si>
  <si>
    <t xml:space="preserve">I agree with the viewpoint</t>
  </si>
  <si>
    <t xml:space="preserve">我同意這個觀點</t>
  </si>
  <si>
    <t xml:space="preserve">ngo-tung-ji-ni-go-gun-dim</t>
  </si>
  <si>
    <t xml:space="preserve">Tôi không đồng ý vì</t>
  </si>
  <si>
    <t xml:space="preserve">I disagree because</t>
  </si>
  <si>
    <t xml:space="preserve">我不同意，因為</t>
  </si>
  <si>
    <t xml:space="preserve">ngo-m-tung-ji-jan-wai</t>
  </si>
  <si>
    <t xml:space="preserve">Một mặt... Mặt khác...</t>
  </si>
  <si>
    <t xml:space="preserve">On one hand... On the other...</t>
  </si>
  <si>
    <t xml:space="preserve">Theo tôi nghĩ</t>
  </si>
  <si>
    <t xml:space="preserve">In my opinion / I think</t>
  </si>
  <si>
    <r>
      <rPr>
        <sz val="9"/>
        <color rgb="FF000000"/>
        <rFont val="Noto Sans CJK SC"/>
        <family val="2"/>
      </rPr>
      <t xml:space="preserve">依我看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我認為</t>
    </r>
  </si>
  <si>
    <t xml:space="preserve">ji-ngo-tai/ngo-jing-wai</t>
  </si>
  <si>
    <t xml:space="preserve">Có ý kiến cho rằng</t>
  </si>
  <si>
    <t xml:space="preserve">Some argue that / It's argued that</t>
  </si>
  <si>
    <t xml:space="preserve">有意見認為</t>
  </si>
  <si>
    <t xml:space="preserve">jau-ji-gin-jing-wai</t>
  </si>
  <si>
    <t xml:space="preserve">Điều này cho thấy</t>
  </si>
  <si>
    <t xml:space="preserve">This shows / This indicates</t>
  </si>
  <si>
    <r>
      <rPr>
        <sz val="9"/>
        <color rgb="FF000000"/>
        <rFont val="Noto Sans CJK SC"/>
        <family val="2"/>
      </rPr>
      <t xml:space="preserve">這說明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這表明</t>
    </r>
  </si>
  <si>
    <t xml:space="preserve">ni-syut-ming/ni-biu-ming</t>
  </si>
  <si>
    <t xml:space="preserve">Hơn nữa, cần lưu ý</t>
  </si>
  <si>
    <t xml:space="preserve">Moreover, it should be noted</t>
  </si>
  <si>
    <t xml:space="preserve">此外，值得注意的是</t>
  </si>
  <si>
    <t xml:space="preserve">ci-ngoi-zik-dak-zyu-ji-dik-hai</t>
  </si>
  <si>
    <t xml:space="preserve">Tuy nhiên, không thể phủ nhận</t>
  </si>
  <si>
    <t xml:space="preserve">However, it cannot be denied</t>
  </si>
  <si>
    <t xml:space="preserve">然而，不可否認</t>
  </si>
  <si>
    <t xml:space="preserve">jin-ji-bat-ho-fau-jing</t>
  </si>
  <si>
    <t xml:space="preserve">Điều đáng nói là</t>
  </si>
  <si>
    <t xml:space="preserve">What's worth noting is</t>
  </si>
  <si>
    <t xml:space="preserve">值得一提的是</t>
  </si>
  <si>
    <t xml:space="preserve">zik-dak-jat-tai-dik-hai</t>
  </si>
  <si>
    <t xml:space="preserve">Xét về tổng thể</t>
  </si>
  <si>
    <t xml:space="preserve">Looking at the big picture</t>
  </si>
  <si>
    <t xml:space="preserve">從整體來看</t>
  </si>
  <si>
    <t xml:space="preserve">cung-zing-tai-loi-hon</t>
  </si>
  <si>
    <t xml:space="preserve">Cần phân biệt rõ</t>
  </si>
  <si>
    <t xml:space="preserve">We must clearly distinguish</t>
  </si>
  <si>
    <t xml:space="preserve">需要清楚區分</t>
  </si>
  <si>
    <t xml:space="preserve">seoi-jiu-cing-co-keoi-fan</t>
  </si>
  <si>
    <t xml:space="preserve">Dựa trên bằng chứng</t>
  </si>
  <si>
    <t xml:space="preserve">Based on evidence</t>
  </si>
  <si>
    <t xml:space="preserve">根據證據</t>
  </si>
  <si>
    <t xml:space="preserve">gan-geoi-zing-geoi</t>
  </si>
  <si>
    <t xml:space="preserve">Nếu xét kỹ hơn</t>
  </si>
  <si>
    <t xml:space="preserve">If we look more carefully</t>
  </si>
  <si>
    <t xml:space="preserve">如果仔細研究</t>
  </si>
  <si>
    <t xml:space="preserve">jyu-gwo-zi-sai-jin-gau</t>
  </si>
  <si>
    <t xml:space="preserve">Kết luận lại</t>
  </si>
  <si>
    <t xml:space="preserve">In conclusion / To conclude</t>
  </si>
  <si>
    <r>
      <rPr>
        <sz val="9"/>
        <color rgb="FF000000"/>
        <rFont val="Noto Sans CJK SC"/>
        <family val="2"/>
      </rPr>
      <t xml:space="preserve">總結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結論是</t>
    </r>
  </si>
  <si>
    <t xml:space="preserve">zung-git/git-leon-hai</t>
  </si>
  <si>
    <t xml:space="preserve">giả sử như</t>
  </si>
  <si>
    <t xml:space="preserve">suppose / assuming that</t>
  </si>
  <si>
    <t xml:space="preserve">ngược lại</t>
  </si>
  <si>
    <t xml:space="preserve">on the contrary / conversely</t>
  </si>
  <si>
    <r>
      <rPr>
        <sz val="9"/>
        <color rgb="FF000000"/>
        <rFont val="Noto Sans CJK SC"/>
        <family val="2"/>
      </rPr>
      <t xml:space="preserve">相反地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反之</t>
    </r>
  </si>
  <si>
    <t xml:space="preserve">soeng-faan-dei/faan-zi</t>
  </si>
  <si>
    <t xml:space="preserve">thêm vào đó</t>
  </si>
  <si>
    <t xml:space="preserve">in addition to that</t>
  </si>
  <si>
    <t xml:space="preserve">除此之外</t>
  </si>
  <si>
    <t xml:space="preserve">ceoi-ci-zi-ngoi</t>
  </si>
  <si>
    <t xml:space="preserve">nói cách khác</t>
  </si>
  <si>
    <t xml:space="preserve">điều quan trọng là</t>
  </si>
  <si>
    <t xml:space="preserve">the important thing is</t>
  </si>
  <si>
    <t xml:space="preserve">重要的是</t>
  </si>
  <si>
    <t xml:space="preserve">zung-jiu-dik-hai</t>
  </si>
  <si>
    <t xml:space="preserve">phải thừa nhận rằng</t>
  </si>
  <si>
    <t xml:space="preserve">one must admit that</t>
  </si>
  <si>
    <t xml:space="preserve">必須承認</t>
  </si>
  <si>
    <t xml:space="preserve">bit-seoi-sing-jing</t>
  </si>
  <si>
    <t xml:space="preserve">cộng</t>
  </si>
  <si>
    <t xml:space="preserve">addition / plus</t>
  </si>
  <si>
    <t xml:space="preserve">加</t>
  </si>
  <si>
    <t xml:space="preserve">trừ</t>
  </si>
  <si>
    <t xml:space="preserve">subtraction / minus</t>
  </si>
  <si>
    <t xml:space="preserve">減</t>
  </si>
  <si>
    <t xml:space="preserve">gaam</t>
  </si>
  <si>
    <t xml:space="preserve">nhân</t>
  </si>
  <si>
    <t xml:space="preserve">multiplication / times</t>
  </si>
  <si>
    <t xml:space="preserve">乘</t>
  </si>
  <si>
    <t xml:space="preserve">chia</t>
  </si>
  <si>
    <t xml:space="preserve">division / divide</t>
  </si>
  <si>
    <t xml:space="preserve">除</t>
  </si>
  <si>
    <t xml:space="preserve">ceoi</t>
  </si>
  <si>
    <t xml:space="preserve">bằng</t>
  </si>
  <si>
    <t xml:space="preserve">equals</t>
  </si>
  <si>
    <t xml:space="preserve">等於</t>
  </si>
  <si>
    <t xml:space="preserve">dang-jyu</t>
  </si>
  <si>
    <t xml:space="preserve">lũy thừa</t>
  </si>
  <si>
    <t xml:space="preserve">power / exponent</t>
  </si>
  <si>
    <r>
      <rPr>
        <sz val="9"/>
        <color rgb="FF000000"/>
        <rFont val="Noto Sans CJK SC"/>
        <family val="2"/>
      </rPr>
      <t xml:space="preserve">乘方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冪</t>
    </r>
  </si>
  <si>
    <t xml:space="preserve">sing-fong/mik</t>
  </si>
  <si>
    <t xml:space="preserve">căn bậc hai</t>
  </si>
  <si>
    <t xml:space="preserve">square root</t>
  </si>
  <si>
    <t xml:space="preserve">平方根</t>
  </si>
  <si>
    <t xml:space="preserve">ping-fong-gan</t>
  </si>
  <si>
    <t xml:space="preserve">phần trăm</t>
  </si>
  <si>
    <t xml:space="preserve">percent</t>
  </si>
  <si>
    <t xml:space="preserve">百分之</t>
  </si>
  <si>
    <t xml:space="preserve">baak-fan-zi</t>
  </si>
  <si>
    <t xml:space="preserve">phân số</t>
  </si>
  <si>
    <t xml:space="preserve">fraction</t>
  </si>
  <si>
    <t xml:space="preserve">Sino-Viet: phân số</t>
  </si>
  <si>
    <t xml:space="preserve">số nguyên</t>
  </si>
  <si>
    <t xml:space="preserve">integer</t>
  </si>
  <si>
    <t xml:space="preserve">整數</t>
  </si>
  <si>
    <t xml:space="preserve">zing-sou</t>
  </si>
  <si>
    <t xml:space="preserve">Sino-Viet: số nguyên</t>
  </si>
  <si>
    <t xml:space="preserve">số thập phân</t>
  </si>
  <si>
    <t xml:space="preserve">decimal</t>
  </si>
  <si>
    <t xml:space="preserve">小數</t>
  </si>
  <si>
    <t xml:space="preserve">siu-sou</t>
  </si>
  <si>
    <t xml:space="preserve">số âm</t>
  </si>
  <si>
    <t xml:space="preserve">negative number</t>
  </si>
  <si>
    <t xml:space="preserve">負數</t>
  </si>
  <si>
    <t xml:space="preserve">fu-sou</t>
  </si>
  <si>
    <t xml:space="preserve">số dương</t>
  </si>
  <si>
    <t xml:space="preserve">positive number</t>
  </si>
  <si>
    <t xml:space="preserve">正數</t>
  </si>
  <si>
    <t xml:space="preserve">vô cùng</t>
  </si>
  <si>
    <t xml:space="preserve">infinity</t>
  </si>
  <si>
    <r>
      <rPr>
        <sz val="9"/>
        <color rgb="FF000000"/>
        <rFont val="Noto Sans CJK SC"/>
        <family val="2"/>
      </rPr>
      <t xml:space="preserve">無限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無窮</t>
    </r>
  </si>
  <si>
    <t xml:space="preserve">mou-haan/mou-kung</t>
  </si>
  <si>
    <t xml:space="preserve">Sino-Viet: vô cùng</t>
  </si>
  <si>
    <t xml:space="preserve">hình tròn</t>
  </si>
  <si>
    <t xml:space="preserve">circle</t>
  </si>
  <si>
    <t xml:space="preserve">圓形</t>
  </si>
  <si>
    <t xml:space="preserve">jyun-jing</t>
  </si>
  <si>
    <t xml:space="preserve">hình vuông</t>
  </si>
  <si>
    <t xml:space="preserve">square</t>
  </si>
  <si>
    <t xml:space="preserve">正方形</t>
  </si>
  <si>
    <t xml:space="preserve">zing-fong-jing</t>
  </si>
  <si>
    <t xml:space="preserve">hình chữ nhật</t>
  </si>
  <si>
    <t xml:space="preserve">rectangle</t>
  </si>
  <si>
    <t xml:space="preserve">長方形</t>
  </si>
  <si>
    <t xml:space="preserve">coeng-fong-jing</t>
  </si>
  <si>
    <t xml:space="preserve">hình tam giác</t>
  </si>
  <si>
    <t xml:space="preserve">triangle</t>
  </si>
  <si>
    <t xml:space="preserve">三角形</t>
  </si>
  <si>
    <t xml:space="preserve">saam-gok-jing</t>
  </si>
  <si>
    <t xml:space="preserve">Sino-Viet: tam giác</t>
  </si>
  <si>
    <t xml:space="preserve">area</t>
  </si>
  <si>
    <t xml:space="preserve">thể tích</t>
  </si>
  <si>
    <t xml:space="preserve">volume</t>
  </si>
  <si>
    <t xml:space="preserve">體積</t>
  </si>
  <si>
    <t xml:space="preserve">tai-zik</t>
  </si>
  <si>
    <t xml:space="preserve">Sino-Viet: thể tích</t>
  </si>
  <si>
    <t xml:space="preserve">chiều dài</t>
  </si>
  <si>
    <t xml:space="preserve">length</t>
  </si>
  <si>
    <t xml:space="preserve">長度</t>
  </si>
  <si>
    <t xml:space="preserve">coeng-dou</t>
  </si>
  <si>
    <t xml:space="preserve">chiều rộng</t>
  </si>
  <si>
    <t xml:space="preserve">width</t>
  </si>
  <si>
    <t xml:space="preserve">寬度</t>
  </si>
  <si>
    <t xml:space="preserve">fun-dou</t>
  </si>
  <si>
    <t xml:space="preserve">chiều cao</t>
  </si>
  <si>
    <t xml:space="preserve">height</t>
  </si>
  <si>
    <t xml:space="preserve">高度</t>
  </si>
  <si>
    <t xml:space="preserve">gou-dou</t>
  </si>
  <si>
    <t xml:space="preserve">mét</t>
  </si>
  <si>
    <t xml:space="preserve">meter</t>
  </si>
  <si>
    <t xml:space="preserve">米</t>
  </si>
  <si>
    <t xml:space="preserve">mai</t>
  </si>
  <si>
    <t xml:space="preserve">ki-lô-mét</t>
  </si>
  <si>
    <t xml:space="preserve">kilometer</t>
  </si>
  <si>
    <t xml:space="preserve">公里</t>
  </si>
  <si>
    <t xml:space="preserve">gung-lei</t>
  </si>
  <si>
    <t xml:space="preserve">cen-ti-mét</t>
  </si>
  <si>
    <t xml:space="preserve">centimeter</t>
  </si>
  <si>
    <t xml:space="preserve">厘米</t>
  </si>
  <si>
    <t xml:space="preserve">lei-mai</t>
  </si>
  <si>
    <t xml:space="preserve">ki-lô-gam</t>
  </si>
  <si>
    <t xml:space="preserve">kilogram</t>
  </si>
  <si>
    <t xml:space="preserve">公斤</t>
  </si>
  <si>
    <t xml:space="preserve">gung-gan</t>
  </si>
  <si>
    <t xml:space="preserve">gam</t>
  </si>
  <si>
    <t xml:space="preserve">gram</t>
  </si>
  <si>
    <t xml:space="preserve">克</t>
  </si>
  <si>
    <t xml:space="preserve">lít</t>
  </si>
  <si>
    <t xml:space="preserve">liter</t>
  </si>
  <si>
    <t xml:space="preserve">公升</t>
  </si>
  <si>
    <t xml:space="preserve">gung-sing</t>
  </si>
  <si>
    <t xml:space="preserve">ml / mili-lít</t>
  </si>
  <si>
    <t xml:space="preserve">milliliter</t>
  </si>
  <si>
    <t xml:space="preserve">毫升</t>
  </si>
  <si>
    <t xml:space="preserve">hou-sing</t>
  </si>
  <si>
    <t xml:space="preserve">độ C</t>
  </si>
  <si>
    <t xml:space="preserve">degrees Celsius</t>
  </si>
  <si>
    <t xml:space="preserve">攝氏度</t>
  </si>
  <si>
    <t xml:space="preserve">sip-si-dou</t>
  </si>
  <si>
    <t xml:space="preserve">km/h</t>
  </si>
  <si>
    <t xml:space="preserve">kilometers per hour</t>
  </si>
  <si>
    <t xml:space="preserve">公里每小時</t>
  </si>
  <si>
    <t xml:space="preserve">gung-lei-mui-siu-si</t>
  </si>
  <si>
    <t xml:space="preserve">mét vuông</t>
  </si>
  <si>
    <t xml:space="preserve">square meter</t>
  </si>
  <si>
    <t xml:space="preserve">平方米</t>
  </si>
  <si>
    <t xml:space="preserve">ping-fong-mai</t>
  </si>
  <si>
    <t xml:space="preserve">ha / héc-ta</t>
  </si>
  <si>
    <t xml:space="preserve">hectare</t>
  </si>
  <si>
    <t xml:space="preserve">公頃</t>
  </si>
  <si>
    <t xml:space="preserve">gung-king</t>
  </si>
  <si>
    <t xml:space="preserve">tấn</t>
  </si>
  <si>
    <t xml:space="preserve">metric ton</t>
  </si>
  <si>
    <t xml:space="preserve">公噸</t>
  </si>
  <si>
    <t xml:space="preserve">gung-deon</t>
  </si>
  <si>
    <t xml:space="preserve">pound / cân Anh</t>
  </si>
  <si>
    <t xml:space="preserve">pound (weight)</t>
  </si>
  <si>
    <t xml:space="preserve">磅</t>
  </si>
  <si>
    <t xml:space="preserve">bong</t>
  </si>
  <si>
    <t xml:space="preserve">dặm</t>
  </si>
  <si>
    <t xml:space="preserve">mile</t>
  </si>
  <si>
    <t xml:space="preserve">英里</t>
  </si>
  <si>
    <t xml:space="preserve">jing-lei</t>
  </si>
  <si>
    <t xml:space="preserve">âm lịch</t>
  </si>
  <si>
    <t xml:space="preserve">lunar calendar</t>
  </si>
  <si>
    <r>
      <rPr>
        <sz val="9"/>
        <color rgb="FF000000"/>
        <rFont val="Noto Sans CJK SC"/>
        <family val="2"/>
      </rPr>
      <t xml:space="preserve">農曆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陰曆</t>
    </r>
  </si>
  <si>
    <t xml:space="preserve">nung-lik/jam-lik</t>
  </si>
  <si>
    <t xml:space="preserve">very important in Vietnam</t>
  </si>
  <si>
    <t xml:space="preserve">dương lịch</t>
  </si>
  <si>
    <t xml:space="preserve">solar calendar / Gregorian</t>
  </si>
  <si>
    <r>
      <rPr>
        <sz val="9"/>
        <color rgb="FF000000"/>
        <rFont val="Noto Sans CJK SC"/>
        <family val="2"/>
      </rPr>
      <t xml:space="preserve">陽曆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公曆</t>
    </r>
  </si>
  <si>
    <t xml:space="preserve">joeng-lik/gung-lik</t>
  </si>
  <si>
    <t xml:space="preserve">ngày sinh</t>
  </si>
  <si>
    <t xml:space="preserve">date of birth</t>
  </si>
  <si>
    <r>
      <rPr>
        <sz val="9"/>
        <color rgb="FF000000"/>
        <rFont val="Noto Sans CJK SC"/>
        <family val="2"/>
      </rPr>
      <t xml:space="preserve">生日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出生日期</t>
    </r>
  </si>
  <si>
    <t xml:space="preserve">saang-jat/ceot-saang-jat-kei</t>
  </si>
  <si>
    <t xml:space="preserve">sinh nhật</t>
  </si>
  <si>
    <t xml:space="preserve">birthday</t>
  </si>
  <si>
    <t xml:space="preserve">生日</t>
  </si>
  <si>
    <t xml:space="preserve">saang-jat</t>
  </si>
  <si>
    <t xml:space="preserve">Sino-Viet: sinh nhật</t>
  </si>
  <si>
    <t xml:space="preserve">kỷ niệm</t>
  </si>
  <si>
    <t xml:space="preserve">anniversary</t>
  </si>
  <si>
    <t xml:space="preserve">紀念日</t>
  </si>
  <si>
    <t xml:space="preserve">gei-nim-jat</t>
  </si>
  <si>
    <t xml:space="preserve">Sino-Viet: kỷ niệm</t>
  </si>
  <si>
    <t xml:space="preserve">tuần trước</t>
  </si>
  <si>
    <t xml:space="preserve">last week</t>
  </si>
  <si>
    <t xml:space="preserve">上星期</t>
  </si>
  <si>
    <t xml:space="preserve">soeng-sing-kei</t>
  </si>
  <si>
    <t xml:space="preserve">tuần sau</t>
  </si>
  <si>
    <t xml:space="preserve">next week</t>
  </si>
  <si>
    <t xml:space="preserve">下星期</t>
  </si>
  <si>
    <t xml:space="preserve">haa-sing-kei</t>
  </si>
  <si>
    <t xml:space="preserve">tháng trước</t>
  </si>
  <si>
    <t xml:space="preserve">last month</t>
  </si>
  <si>
    <t xml:space="preserve">上個月</t>
  </si>
  <si>
    <t xml:space="preserve">soeng-go-jyut</t>
  </si>
  <si>
    <t xml:space="preserve">tháng sau</t>
  </si>
  <si>
    <t xml:space="preserve">next month</t>
  </si>
  <si>
    <t xml:space="preserve">下個月</t>
  </si>
  <si>
    <t xml:space="preserve">haa-go-jyut</t>
  </si>
  <si>
    <t xml:space="preserve">năm ngoái</t>
  </si>
  <si>
    <t xml:space="preserve">last year</t>
  </si>
  <si>
    <t xml:space="preserve">去年</t>
  </si>
  <si>
    <t xml:space="preserve">heoi-nin</t>
  </si>
  <si>
    <t xml:space="preserve">năm tới / sang năm</t>
  </si>
  <si>
    <t xml:space="preserve">next year</t>
  </si>
  <si>
    <t xml:space="preserve">明年</t>
  </si>
  <si>
    <t xml:space="preserve">ming-nin</t>
  </si>
  <si>
    <t xml:space="preserve">sang năm = Southern</t>
  </si>
  <si>
    <t xml:space="preserve">đầu tháng</t>
  </si>
  <si>
    <t xml:space="preserve">beginning of month</t>
  </si>
  <si>
    <t xml:space="preserve">月初</t>
  </si>
  <si>
    <t xml:space="preserve">jyut-co</t>
  </si>
  <si>
    <t xml:space="preserve">cuối tháng</t>
  </si>
  <si>
    <t xml:space="preserve">end of month</t>
  </si>
  <si>
    <r>
      <rPr>
        <sz val="9"/>
        <color rgb="FF000000"/>
        <rFont val="Noto Sans CJK SC"/>
        <family val="2"/>
      </rPr>
      <t xml:space="preserve">月底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月末</t>
    </r>
  </si>
  <si>
    <t xml:space="preserve">jyut-dai/jyut-mut</t>
  </si>
  <si>
    <t xml:space="preserve">giữa tháng</t>
  </si>
  <si>
    <t xml:space="preserve">mid-month</t>
  </si>
  <si>
    <t xml:space="preserve">月中</t>
  </si>
  <si>
    <t xml:space="preserve">jyut-zung</t>
  </si>
  <si>
    <t xml:space="preserve">quý</t>
  </si>
  <si>
    <t xml:space="preserve">quarter (business)</t>
  </si>
  <si>
    <t xml:space="preserve">季度</t>
  </si>
  <si>
    <t xml:space="preserve">gwai-dou</t>
  </si>
  <si>
    <t xml:space="preserve">nửa năm</t>
  </si>
  <si>
    <t xml:space="preserve">half year</t>
  </si>
  <si>
    <t xml:space="preserve">半年</t>
  </si>
  <si>
    <t xml:space="preserve">bun-nin</t>
  </si>
  <si>
    <t xml:space="preserve">thập kỷ</t>
  </si>
  <si>
    <t xml:space="preserve">decade</t>
  </si>
  <si>
    <r>
      <rPr>
        <sz val="9"/>
        <color rgb="FF000000"/>
        <rFont val="Noto Sans CJK SC"/>
        <family val="2"/>
      </rPr>
      <t xml:space="preserve">十年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十載</t>
    </r>
  </si>
  <si>
    <t xml:space="preserve">sap-nin/sap-zoi</t>
  </si>
  <si>
    <t xml:space="preserve">Sino-Viet: thập kỷ</t>
  </si>
  <si>
    <t xml:space="preserve">thế kỷ</t>
  </si>
  <si>
    <t xml:space="preserve">century</t>
  </si>
  <si>
    <t xml:space="preserve">世紀</t>
  </si>
  <si>
    <t xml:space="preserve">sai-gei</t>
  </si>
  <si>
    <t xml:space="preserve">Sino-Viet: thế kỷ</t>
  </si>
  <si>
    <t xml:space="preserve">thiên niên kỷ</t>
  </si>
  <si>
    <t xml:space="preserve">millennium</t>
  </si>
  <si>
    <r>
      <rPr>
        <sz val="9"/>
        <color rgb="FF000000"/>
        <rFont val="Noto Sans CJK SC"/>
        <family val="2"/>
      </rPr>
      <t xml:space="preserve">千年紀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千禧年</t>
    </r>
  </si>
  <si>
    <t xml:space="preserve">cin-nin-gei/cin-hei-nin</t>
  </si>
  <si>
    <t xml:space="preserve">mùa mưa</t>
  </si>
  <si>
    <t xml:space="preserve">rainy season</t>
  </si>
  <si>
    <t xml:space="preserve">雨季</t>
  </si>
  <si>
    <t xml:space="preserve">jyu-gwai</t>
  </si>
  <si>
    <t xml:space="preserve">May–November in South</t>
  </si>
  <si>
    <t xml:space="preserve">mùa khô</t>
  </si>
  <si>
    <t xml:space="preserve">dry season</t>
  </si>
  <si>
    <t xml:space="preserve">旱季</t>
  </si>
  <si>
    <t xml:space="preserve">hon-gwai</t>
  </si>
  <si>
    <t xml:space="preserve">December–April in South</t>
  </si>
  <si>
    <t xml:space="preserve">nhiệt đới</t>
  </si>
  <si>
    <t xml:space="preserve">tropical</t>
  </si>
  <si>
    <t xml:space="preserve">熱帶</t>
  </si>
  <si>
    <t xml:space="preserve">jit-daai</t>
  </si>
  <si>
    <t xml:space="preserve">Sino-Viet: nhiệt đới</t>
  </si>
  <si>
    <t xml:space="preserve">độ ẩm</t>
  </si>
  <si>
    <t xml:space="preserve">humidity</t>
  </si>
  <si>
    <t xml:space="preserve">濕度</t>
  </si>
  <si>
    <t xml:space="preserve">sap-dou</t>
  </si>
  <si>
    <t xml:space="preserve">đồng bằng</t>
  </si>
  <si>
    <t xml:space="preserve">delta / plain</t>
  </si>
  <si>
    <r>
      <rPr>
        <sz val="9"/>
        <color rgb="FF000000"/>
        <rFont val="Noto Sans CJK SC"/>
        <family val="2"/>
      </rPr>
      <t xml:space="preserve">三角洲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平原</t>
    </r>
  </si>
  <si>
    <t xml:space="preserve">saam-gok-zau/ping-jyun</t>
  </si>
  <si>
    <t xml:space="preserve">Đồng bằng sông Cửu Long</t>
  </si>
  <si>
    <t xml:space="preserve">Mekong Delta</t>
  </si>
  <si>
    <t xml:space="preserve">湄公河三角洲</t>
  </si>
  <si>
    <t xml:space="preserve">mui-gung-ho-saam-gok-zau</t>
  </si>
  <si>
    <t xml:space="preserve">9-dragon river delta</t>
  </si>
  <si>
    <t xml:space="preserve">bờ biển</t>
  </si>
  <si>
    <t xml:space="preserve">coastline / coast</t>
  </si>
  <si>
    <t xml:space="preserve">海岸線</t>
  </si>
  <si>
    <t xml:space="preserve">hoi-ngon-sin</t>
  </si>
  <si>
    <t xml:space="preserve">vịnh</t>
  </si>
  <si>
    <t xml:space="preserve">bay / gulf</t>
  </si>
  <si>
    <t xml:space="preserve">灣</t>
  </si>
  <si>
    <t xml:space="preserve">Sino-Viet: vịnh</t>
  </si>
  <si>
    <t xml:space="preserve">Vịnh Hạ Long</t>
  </si>
  <si>
    <t xml:space="preserve">Ha Long Bay</t>
  </si>
  <si>
    <t xml:space="preserve">下龍灣</t>
  </si>
  <si>
    <t xml:space="preserve">haa-lung-waan</t>
  </si>
  <si>
    <t xml:space="preserve">UNESCO World Heritage</t>
  </si>
  <si>
    <t xml:space="preserve">đảo</t>
  </si>
  <si>
    <t xml:space="preserve">island</t>
  </si>
  <si>
    <t xml:space="preserve">島</t>
  </si>
  <si>
    <t xml:space="preserve">Sino-Viet: đảo</t>
  </si>
  <si>
    <t xml:space="preserve">cao nguyên</t>
  </si>
  <si>
    <t xml:space="preserve">plateau / highlands</t>
  </si>
  <si>
    <t xml:space="preserve">高原</t>
  </si>
  <si>
    <t xml:space="preserve">gou-jyun</t>
  </si>
  <si>
    <t xml:space="preserve">Sino-Viet: cao nguyên</t>
  </si>
  <si>
    <t xml:space="preserve">Tây Nguyên</t>
  </si>
  <si>
    <t xml:space="preserve">Central Highlands</t>
  </si>
  <si>
    <t xml:space="preserve">西原</t>
  </si>
  <si>
    <t xml:space="preserve">sai-jyun</t>
  </si>
  <si>
    <t xml:space="preserve">coffee growing region</t>
  </si>
  <si>
    <t xml:space="preserve">miền Tây</t>
  </si>
  <si>
    <t xml:space="preserve">Western region (Mekong Delta)</t>
  </si>
  <si>
    <t xml:space="preserve">西部</t>
  </si>
  <si>
    <t xml:space="preserve">sai-bou</t>
  </si>
  <si>
    <t xml:space="preserve">Southern casual term</t>
  </si>
  <si>
    <t xml:space="preserve">vùng ngoại ô</t>
  </si>
  <si>
    <t xml:space="preserve">suburbs / outskirts</t>
  </si>
  <si>
    <t xml:space="preserve">郊區</t>
  </si>
  <si>
    <t xml:space="preserve">gaau-keoi</t>
  </si>
  <si>
    <t xml:space="preserve">khu công nghiệp</t>
  </si>
  <si>
    <t xml:space="preserve">industrial zone</t>
  </si>
  <si>
    <t xml:space="preserve">工業區</t>
  </si>
  <si>
    <t xml:space="preserve">gung-jip-keoi</t>
  </si>
  <si>
    <t xml:space="preserve">khu kinh tế</t>
  </si>
  <si>
    <t xml:space="preserve">economic zone</t>
  </si>
  <si>
    <t xml:space="preserve">經濟區</t>
  </si>
  <si>
    <t xml:space="preserve">ging-zai-keoi</t>
  </si>
  <si>
    <t xml:space="preserve">nhà nước</t>
  </si>
  <si>
    <t xml:space="preserve">state / government</t>
  </si>
  <si>
    <r>
      <rPr>
        <sz val="9"/>
        <color rgb="FF000000"/>
        <rFont val="Noto Sans CJK SC"/>
        <family val="2"/>
      </rPr>
      <t xml:space="preserve">國家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政府</t>
    </r>
  </si>
  <si>
    <t xml:space="preserve">gwok-gaa/zing-fu</t>
  </si>
  <si>
    <t xml:space="preserve">hành chính</t>
  </si>
  <si>
    <t xml:space="preserve">administration</t>
  </si>
  <si>
    <t xml:space="preserve">行政</t>
  </si>
  <si>
    <t xml:space="preserve">haang-zing</t>
  </si>
  <si>
    <t xml:space="preserve">Sino-Viet: hành chính</t>
  </si>
  <si>
    <t xml:space="preserve">tư pháp</t>
  </si>
  <si>
    <t xml:space="preserve">judiciary</t>
  </si>
  <si>
    <t xml:space="preserve">司法</t>
  </si>
  <si>
    <t xml:space="preserve">si-faat</t>
  </si>
  <si>
    <t xml:space="preserve">Sino-Viet: tư pháp</t>
  </si>
  <si>
    <t xml:space="preserve">lập pháp</t>
  </si>
  <si>
    <t xml:space="preserve">legislature</t>
  </si>
  <si>
    <t xml:space="preserve">立法</t>
  </si>
  <si>
    <t xml:space="preserve">lap-faat</t>
  </si>
  <si>
    <t xml:space="preserve">Sino-Viet: lập pháp</t>
  </si>
  <si>
    <t xml:space="preserve">hành pháp</t>
  </si>
  <si>
    <t xml:space="preserve">executive branch</t>
  </si>
  <si>
    <t xml:space="preserve">Sino-Viet: hành pháp</t>
  </si>
  <si>
    <t xml:space="preserve">Quốc hội</t>
  </si>
  <si>
    <t xml:space="preserve">National Assembly / Parliament</t>
  </si>
  <si>
    <t xml:space="preserve">國會</t>
  </si>
  <si>
    <t xml:space="preserve">gwok-wui</t>
  </si>
  <si>
    <t xml:space="preserve">Sino-Viet: Quốc hội</t>
  </si>
  <si>
    <t xml:space="preserve">đại biểu</t>
  </si>
  <si>
    <t xml:space="preserve">delegate / representative</t>
  </si>
  <si>
    <t xml:space="preserve">Sino-Viet: đại biểu</t>
  </si>
  <si>
    <t xml:space="preserve">thủ tướng</t>
  </si>
  <si>
    <t xml:space="preserve">prime minister</t>
  </si>
  <si>
    <t xml:space="preserve">總理</t>
  </si>
  <si>
    <t xml:space="preserve">zung-lei</t>
  </si>
  <si>
    <t xml:space="preserve">Sino-Viet: thủ tướng</t>
  </si>
  <si>
    <t xml:space="preserve">chủ tịch</t>
  </si>
  <si>
    <t xml:space="preserve">chairman / president</t>
  </si>
  <si>
    <t xml:space="preserve">主席</t>
  </si>
  <si>
    <t xml:space="preserve">zyu-zik</t>
  </si>
  <si>
    <t xml:space="preserve">Sino-Viet: chủ tịch</t>
  </si>
  <si>
    <t xml:space="preserve">bộ trưởng</t>
  </si>
  <si>
    <t xml:space="preserve">minister</t>
  </si>
  <si>
    <t xml:space="preserve">部長</t>
  </si>
  <si>
    <t xml:space="preserve">bou-zoeng</t>
  </si>
  <si>
    <t xml:space="preserve">Sino-Viet: bộ trưởng</t>
  </si>
  <si>
    <t xml:space="preserve">tham nhũng</t>
  </si>
  <si>
    <t xml:space="preserve">corruption</t>
  </si>
  <si>
    <r>
      <rPr>
        <sz val="9"/>
        <color rgb="FF000000"/>
        <rFont val="Noto Sans CJK SC"/>
        <family val="2"/>
      </rPr>
      <t xml:space="preserve">貪腐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腐敗</t>
    </r>
  </si>
  <si>
    <t xml:space="preserve">taam-fu/fu-baai</t>
  </si>
  <si>
    <t xml:space="preserve">Sino-Viet: tham nhũng</t>
  </si>
  <si>
    <t xml:space="preserve">chống tham nhũng</t>
  </si>
  <si>
    <t xml:space="preserve">anti-corruption</t>
  </si>
  <si>
    <r>
      <rPr>
        <sz val="9"/>
        <color rgb="FF000000"/>
        <rFont val="Noto Sans CJK SC"/>
        <family val="2"/>
      </rPr>
      <t xml:space="preserve">反腐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廉政</t>
    </r>
  </si>
  <si>
    <t xml:space="preserve">faan-fu/lim-zing</t>
  </si>
  <si>
    <t xml:space="preserve">minh bạch</t>
  </si>
  <si>
    <t xml:space="preserve">transparency</t>
  </si>
  <si>
    <r>
      <rPr>
        <sz val="9"/>
        <color rgb="FF000000"/>
        <rFont val="Noto Sans CJK SC"/>
        <family val="2"/>
      </rPr>
      <t xml:space="preserve">透明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廉明</t>
    </r>
  </si>
  <si>
    <t xml:space="preserve">tau-ming/lim-ming</t>
  </si>
  <si>
    <t xml:space="preserve">Sino-Viet: minh bạch</t>
  </si>
  <si>
    <t xml:space="preserve">dân số</t>
  </si>
  <si>
    <t xml:space="preserve">population</t>
  </si>
  <si>
    <t xml:space="preserve">人口</t>
  </si>
  <si>
    <t xml:space="preserve">jan-hau</t>
  </si>
  <si>
    <t xml:space="preserve">Sino-Viet: dân số</t>
  </si>
  <si>
    <t xml:space="preserve">tỷ lệ thất nghiệp</t>
  </si>
  <si>
    <t xml:space="preserve">unemployment rate</t>
  </si>
  <si>
    <t xml:space="preserve">失業率</t>
  </si>
  <si>
    <t xml:space="preserve">sat-jip-leot</t>
  </si>
  <si>
    <t xml:space="preserve">mức sống</t>
  </si>
  <si>
    <t xml:space="preserve">standard of living</t>
  </si>
  <si>
    <t xml:space="preserve">生活水平</t>
  </si>
  <si>
    <t xml:space="preserve">saang-wut-seoi-ping</t>
  </si>
  <si>
    <t xml:space="preserve">bình đẳng giới</t>
  </si>
  <si>
    <t xml:space="preserve">gender equality</t>
  </si>
  <si>
    <t xml:space="preserve">性別平等</t>
  </si>
  <si>
    <t xml:space="preserve">sing-bit-ping-dang</t>
  </si>
  <si>
    <t xml:space="preserve">người nghèo</t>
  </si>
  <si>
    <t xml:space="preserve">the poor / poor people</t>
  </si>
  <si>
    <t xml:space="preserve">窮人</t>
  </si>
  <si>
    <t xml:space="preserve">kung-jan</t>
  </si>
  <si>
    <t xml:space="preserve">giảm nghèo</t>
  </si>
  <si>
    <t xml:space="preserve">poverty reduction</t>
  </si>
  <si>
    <r>
      <rPr>
        <sz val="9"/>
        <color rgb="FF000000"/>
        <rFont val="Noto Sans CJK SC"/>
        <family val="2"/>
      </rPr>
      <t xml:space="preserve">扶貧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減貧</t>
    </r>
  </si>
  <si>
    <t xml:space="preserve">fu-pan/gaam-pan</t>
  </si>
  <si>
    <t xml:space="preserve">phúc lợi xã hội</t>
  </si>
  <si>
    <t xml:space="preserve">social welfare</t>
  </si>
  <si>
    <t xml:space="preserve">社會福利</t>
  </si>
  <si>
    <t xml:space="preserve">se-wui-fuk-lei</t>
  </si>
  <si>
    <t xml:space="preserve">GDP</t>
  </si>
  <si>
    <r>
      <rPr>
        <sz val="9"/>
        <color rgb="FF000000"/>
        <rFont val="Arial"/>
        <family val="0"/>
        <charset val="1"/>
      </rPr>
      <t xml:space="preserve">GDP/</t>
    </r>
    <r>
      <rPr>
        <sz val="9"/>
        <color rgb="FF000000"/>
        <rFont val="Noto Sans CJK SC"/>
        <family val="2"/>
      </rPr>
      <t xml:space="preserve">國內生產總值</t>
    </r>
  </si>
  <si>
    <t xml:space="preserve">gwok-noi-saang-caan-zung-zik</t>
  </si>
  <si>
    <t xml:space="preserve">lạm phát</t>
  </si>
  <si>
    <t xml:space="preserve">inflation</t>
  </si>
  <si>
    <r>
      <rPr>
        <sz val="9"/>
        <color rgb="FF000000"/>
        <rFont val="Noto Sans CJK SC"/>
        <family val="2"/>
      </rPr>
      <t xml:space="preserve">通脹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通貨膨脹</t>
    </r>
  </si>
  <si>
    <t xml:space="preserve">tung-zoeng/tung-fo-paang-zoeng</t>
  </si>
  <si>
    <t xml:space="preserve">Sino-Viet: lạm phát</t>
  </si>
  <si>
    <t xml:space="preserve">giảm phát</t>
  </si>
  <si>
    <t xml:space="preserve">deflation</t>
  </si>
  <si>
    <t xml:space="preserve">通縮</t>
  </si>
  <si>
    <t xml:space="preserve">tung-suk</t>
  </si>
  <si>
    <t xml:space="preserve">tỷ giá hối đoái</t>
  </si>
  <si>
    <t xml:space="preserve">exchange rate</t>
  </si>
  <si>
    <t xml:space="preserve">匯率</t>
  </si>
  <si>
    <t xml:space="preserve">wui-leot</t>
  </si>
  <si>
    <t xml:space="preserve">Sino-Viet: tỷ giá hối đoái</t>
  </si>
  <si>
    <t xml:space="preserve">cán cân thương mại</t>
  </si>
  <si>
    <t xml:space="preserve">trade balance</t>
  </si>
  <si>
    <t xml:space="preserve">貿易平衡</t>
  </si>
  <si>
    <t xml:space="preserve">mou-jik-ping-hang</t>
  </si>
  <si>
    <t xml:space="preserve">thâm hụt</t>
  </si>
  <si>
    <t xml:space="preserve">deficit</t>
  </si>
  <si>
    <r>
      <rPr>
        <sz val="9"/>
        <color rgb="FF000000"/>
        <rFont val="Noto Sans CJK SC"/>
        <family val="2"/>
      </rPr>
      <t xml:space="preserve">赤字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虧損</t>
    </r>
  </si>
  <si>
    <t xml:space="preserve">cek-zi/kwai-syun</t>
  </si>
  <si>
    <t xml:space="preserve">Sino-Viet: thâm hụt</t>
  </si>
  <si>
    <t xml:space="preserve">thặng dư</t>
  </si>
  <si>
    <t xml:space="preserve">surplus</t>
  </si>
  <si>
    <r>
      <rPr>
        <sz val="9"/>
        <color rgb="FF000000"/>
        <rFont val="Noto Sans CJK SC"/>
        <family val="2"/>
      </rPr>
      <t xml:space="preserve">盈餘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順差</t>
    </r>
  </si>
  <si>
    <t xml:space="preserve">jing-jyu/seon-caa</t>
  </si>
  <si>
    <t xml:space="preserve">Sino-Viet: thặng dư</t>
  </si>
  <si>
    <t xml:space="preserve">cung và cầu</t>
  </si>
  <si>
    <t xml:space="preserve">supply and demand</t>
  </si>
  <si>
    <t xml:space="preserve">供求</t>
  </si>
  <si>
    <t xml:space="preserve">gung-kau</t>
  </si>
  <si>
    <t xml:space="preserve">Sino-Viet: cung cầu</t>
  </si>
  <si>
    <t xml:space="preserve">kinh tế thị trường</t>
  </si>
  <si>
    <t xml:space="preserve">market economy</t>
  </si>
  <si>
    <t xml:space="preserve">市場經濟</t>
  </si>
  <si>
    <t xml:space="preserve">si-coeng-ging-zai</t>
  </si>
  <si>
    <t xml:space="preserve">đầu tư nước ngoài</t>
  </si>
  <si>
    <t xml:space="preserve">foreign investment (FDI)</t>
  </si>
  <si>
    <r>
      <rPr>
        <sz val="9"/>
        <color rgb="FF000000"/>
        <rFont val="Noto Sans CJK SC"/>
        <family val="2"/>
      </rPr>
      <t xml:space="preserve">外資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外商直接投資</t>
    </r>
  </si>
  <si>
    <t xml:space="preserve">ngoi-zi/ngoi-soeng-zik-zip-tau-zi</t>
  </si>
  <si>
    <t xml:space="preserve">cổ phần</t>
  </si>
  <si>
    <t xml:space="preserve">shares / equity</t>
  </si>
  <si>
    <t xml:space="preserve">股份</t>
  </si>
  <si>
    <t xml:space="preserve">gu-fan</t>
  </si>
  <si>
    <t xml:space="preserve">Sino-Viet: cổ phần</t>
  </si>
  <si>
    <t xml:space="preserve">doanh nghiệp</t>
  </si>
  <si>
    <t xml:space="preserve">enterprise / business</t>
  </si>
  <si>
    <t xml:space="preserve">企業</t>
  </si>
  <si>
    <t xml:space="preserve">kei-jip</t>
  </si>
  <si>
    <t xml:space="preserve">Sino-Viet: doanh nghiệp</t>
  </si>
  <si>
    <t xml:space="preserve">doanh nghiệp vừa và nhỏ</t>
  </si>
  <si>
    <t xml:space="preserve">SME (small/medium enterprise)</t>
  </si>
  <si>
    <t xml:space="preserve">中小企業</t>
  </si>
  <si>
    <t xml:space="preserve">zung-siu-kei-jip</t>
  </si>
  <si>
    <t xml:space="preserve">hộ kinh doanh</t>
  </si>
  <si>
    <t xml:space="preserve">business household</t>
  </si>
  <si>
    <t xml:space="preserve">個體戶</t>
  </si>
  <si>
    <t xml:space="preserve">go-tai-wu</t>
  </si>
  <si>
    <t xml:space="preserve">chuỗi cung ứng</t>
  </si>
  <si>
    <t xml:space="preserve">supply chain</t>
  </si>
  <si>
    <t xml:space="preserve">供應鏈</t>
  </si>
  <si>
    <t xml:space="preserve">gung-jing-lin</t>
  </si>
  <si>
    <t xml:space="preserve">năng lực cạnh tranh</t>
  </si>
  <si>
    <t xml:space="preserve">competitiveness</t>
  </si>
  <si>
    <t xml:space="preserve">競爭力</t>
  </si>
  <si>
    <t xml:space="preserve">ging-zang-lik</t>
  </si>
  <si>
    <t xml:space="preserve">quán ăn</t>
  </si>
  <si>
    <t xml:space="preserve">eatery / small restaurant</t>
  </si>
  <si>
    <t xml:space="preserve">食肆</t>
  </si>
  <si>
    <t xml:space="preserve">sik-zi</t>
  </si>
  <si>
    <t xml:space="preserve">xe ôm</t>
  </si>
  <si>
    <t xml:space="preserve">motorbike taxi</t>
  </si>
  <si>
    <t xml:space="preserve">摩托計程車</t>
  </si>
  <si>
    <t xml:space="preserve">mo-tok-gai-cing-ce</t>
  </si>
  <si>
    <t xml:space="preserve">iconic HCMC transport</t>
  </si>
  <si>
    <t xml:space="preserve">Grab</t>
  </si>
  <si>
    <t xml:space="preserve">Grab (ride-hailing app)</t>
  </si>
  <si>
    <r>
      <rPr>
        <sz val="9"/>
        <color rgb="FF000000"/>
        <rFont val="Arial"/>
        <family val="0"/>
        <charset val="1"/>
      </rPr>
      <t xml:space="preserve">Grab</t>
    </r>
    <r>
      <rPr>
        <sz val="9"/>
        <color rgb="FF000000"/>
        <rFont val="Noto Sans CJK SC"/>
        <family val="2"/>
      </rPr>
      <t xml:space="preserve">打車</t>
    </r>
  </si>
  <si>
    <t xml:space="preserve">Grab-daa-ce</t>
  </si>
  <si>
    <t xml:space="preserve">dominant in Vietnam</t>
  </si>
  <si>
    <t xml:space="preserve">shipper</t>
  </si>
  <si>
    <t xml:space="preserve">delivery person</t>
  </si>
  <si>
    <t xml:space="preserve">外賣員</t>
  </si>
  <si>
    <t xml:space="preserve">ngoi-maai-jyun</t>
  </si>
  <si>
    <t xml:space="preserve">very common word now</t>
  </si>
  <si>
    <t xml:space="preserve">hẻm</t>
  </si>
  <si>
    <t xml:space="preserve">alley / lane</t>
  </si>
  <si>
    <t xml:space="preserve">小巷</t>
  </si>
  <si>
    <t xml:space="preserve">siu-hong</t>
  </si>
  <si>
    <t xml:space="preserve">very Saigon-specific</t>
  </si>
  <si>
    <t xml:space="preserve">vỉa hè</t>
  </si>
  <si>
    <t xml:space="preserve">sidewalk</t>
  </si>
  <si>
    <t xml:space="preserve">行人路</t>
  </si>
  <si>
    <t xml:space="preserve">haang-jan-lou</t>
  </si>
  <si>
    <t xml:space="preserve">also used for street food</t>
  </si>
  <si>
    <t xml:space="preserve">cà phê vỉa hè</t>
  </si>
  <si>
    <t xml:space="preserve">sidewalk café</t>
  </si>
  <si>
    <t xml:space="preserve">路邊咖啡</t>
  </si>
  <si>
    <t xml:space="preserve">lou-bin-gaa-fe</t>
  </si>
  <si>
    <t xml:space="preserve">iconic Saigon culture</t>
  </si>
  <si>
    <t xml:space="preserve">nhậu</t>
  </si>
  <si>
    <t xml:space="preserve">to drink (with food/friends)</t>
  </si>
  <si>
    <t xml:space="preserve">飲酒作樂</t>
  </si>
  <si>
    <t xml:space="preserve">jam-zau-zok-lok</t>
  </si>
  <si>
    <t xml:space="preserve">very Southern culture</t>
  </si>
  <si>
    <t xml:space="preserve">lai rai</t>
  </si>
  <si>
    <t xml:space="preserve">casual drinking / nibbling</t>
  </si>
  <si>
    <t xml:space="preserve">小酌</t>
  </si>
  <si>
    <t xml:space="preserve">siu-zoek</t>
  </si>
  <si>
    <t xml:space="preserve">bar-restaurant for drinking</t>
  </si>
  <si>
    <r>
      <rPr>
        <sz val="9"/>
        <color rgb="FF000000"/>
        <rFont val="Noto Sans CJK SC"/>
        <family val="2"/>
      </rPr>
      <t xml:space="preserve">大排檔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酒館</t>
    </r>
  </si>
  <si>
    <t xml:space="preserve">daai-paai-dong/zau-gun</t>
  </si>
  <si>
    <t xml:space="preserve">karaoke</t>
  </si>
  <si>
    <r>
      <rPr>
        <sz val="9"/>
        <color rgb="FF000000"/>
        <rFont val="Noto Sans CJK SC"/>
        <family val="2"/>
      </rPr>
      <t xml:space="preserve">卡拉</t>
    </r>
    <r>
      <rPr>
        <sz val="9"/>
        <color rgb="FF000000"/>
        <rFont val="Arial"/>
        <family val="0"/>
        <charset val="1"/>
      </rPr>
      <t xml:space="preserve">OK</t>
    </r>
  </si>
  <si>
    <t xml:space="preserve">kaa-laa-OK</t>
  </si>
  <si>
    <t xml:space="preserve">extremely popular in VN</t>
  </si>
  <si>
    <t xml:space="preserve">đặt đồ ăn online</t>
  </si>
  <si>
    <t xml:space="preserve">to order food online</t>
  </si>
  <si>
    <t xml:space="preserve">網上點餐</t>
  </si>
  <si>
    <t xml:space="preserve">mong-soeng-dim-caan</t>
  </si>
  <si>
    <t xml:space="preserve">chốt đơn</t>
  </si>
  <si>
    <t xml:space="preserve">to confirm an order</t>
  </si>
  <si>
    <t xml:space="preserve">確認訂單</t>
  </si>
  <si>
    <t xml:space="preserve">kok-jing-ding-daan</t>
  </si>
  <si>
    <t xml:space="preserve">modern Vietnamese term</t>
  </si>
  <si>
    <t xml:space="preserve">check-in</t>
  </si>
  <si>
    <t xml:space="preserve">check-in (social media)</t>
  </si>
  <si>
    <t xml:space="preserve">打卡</t>
  </si>
  <si>
    <t xml:space="preserve">daa-kaat</t>
  </si>
  <si>
    <t xml:space="preserve">used just like Cantonese</t>
  </si>
  <si>
    <t xml:space="preserve">sống ảo</t>
  </si>
  <si>
    <t xml:space="preserve">living for social media / fake lifestyle</t>
  </si>
  <si>
    <t xml:space="preserve">活在虛擬世界</t>
  </si>
  <si>
    <t xml:space="preserve">wut-zoi-heoi-ngai-sai-gaai</t>
  </si>
  <si>
    <t xml:space="preserve">Gen Z term</t>
  </si>
  <si>
    <t xml:space="preserve">phòng trọ</t>
  </si>
  <si>
    <t xml:space="preserve">rented room</t>
  </si>
  <si>
    <r>
      <rPr>
        <sz val="9"/>
        <color rgb="FF000000"/>
        <rFont val="Noto Sans CJK SC"/>
        <family val="2"/>
      </rPr>
      <t xml:space="preserve">租房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出租屋</t>
    </r>
  </si>
  <si>
    <t xml:space="preserve">zou-fong/ceot-zou-uk</t>
  </si>
  <si>
    <t xml:space="preserve">chủ trọ</t>
  </si>
  <si>
    <t xml:space="preserve">room/house landlord</t>
  </si>
  <si>
    <t xml:space="preserve">điện nước</t>
  </si>
  <si>
    <t xml:space="preserve">utilities (electricity &amp; water)</t>
  </si>
  <si>
    <t xml:space="preserve">水電</t>
  </si>
  <si>
    <t xml:space="preserve">seoi-din</t>
  </si>
  <si>
    <t xml:space="preserve">rác</t>
  </si>
  <si>
    <t xml:space="preserve">trash / garbage</t>
  </si>
  <si>
    <t xml:space="preserve">phân loại rác</t>
  </si>
  <si>
    <t xml:space="preserve">waste sorting</t>
  </si>
  <si>
    <t xml:space="preserve">垃圾分類</t>
  </si>
  <si>
    <t xml:space="preserve">laap-saap-fan-leoi</t>
  </si>
  <si>
    <t xml:space="preserve">viral</t>
  </si>
  <si>
    <t xml:space="preserve">viral (trending)</t>
  </si>
  <si>
    <r>
      <rPr>
        <sz val="9"/>
        <color rgb="FF000000"/>
        <rFont val="Noto Sans CJK SC"/>
        <family val="2"/>
      </rPr>
      <t xml:space="preserve">爆紅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病毒式傳播</t>
    </r>
  </si>
  <si>
    <t xml:space="preserve">baau-hung</t>
  </si>
  <si>
    <t xml:space="preserve">nổi trend</t>
  </si>
  <si>
    <t xml:space="preserve">going viral / trending</t>
  </si>
  <si>
    <r>
      <rPr>
        <sz val="9"/>
        <color rgb="FF000000"/>
        <rFont val="Noto Sans CJK SC"/>
        <family val="2"/>
      </rPr>
      <t xml:space="preserve">上熱搜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爆紅</t>
    </r>
  </si>
  <si>
    <t xml:space="preserve">soeng-jit-sau/baau-hung</t>
  </si>
  <si>
    <t xml:space="preserve">comeback</t>
  </si>
  <si>
    <t xml:space="preserve">回歸</t>
  </si>
  <si>
    <t xml:space="preserve">wui-gwai</t>
  </si>
  <si>
    <t xml:space="preserve">đỉnh / chill</t>
  </si>
  <si>
    <t xml:space="preserve">awesome / cool (slang)</t>
  </si>
  <si>
    <r>
      <rPr>
        <sz val="9"/>
        <color rgb="FF000000"/>
        <rFont val="Noto Sans CJK SC"/>
        <family val="2"/>
      </rPr>
      <t xml:space="preserve">超棒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很酷</t>
    </r>
  </si>
  <si>
    <t xml:space="preserve">ciu-bong/hou-fu</t>
  </si>
  <si>
    <t xml:space="preserve">Gen Z Vietnamese</t>
  </si>
  <si>
    <t xml:space="preserve">flex</t>
  </si>
  <si>
    <t xml:space="preserve">to flex / show off</t>
  </si>
  <si>
    <t xml:space="preserve">炫耀</t>
  </si>
  <si>
    <t xml:space="preserve">jyun-jiu</t>
  </si>
  <si>
    <t xml:space="preserve">borrowed from English</t>
  </si>
  <si>
    <t xml:space="preserve">gg / GG</t>
  </si>
  <si>
    <t xml:space="preserve">good game / I give up</t>
  </si>
  <si>
    <r>
      <rPr>
        <sz val="9"/>
        <color rgb="FF000000"/>
        <rFont val="Noto Sans CJK SC"/>
        <family val="2"/>
      </rPr>
      <t xml:space="preserve">認輸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服了</t>
    </r>
  </si>
  <si>
    <t xml:space="preserve">jing-syu/fuk-liu</t>
  </si>
  <si>
    <t xml:space="preserve">gaming origin</t>
  </si>
  <si>
    <t xml:space="preserve">lag</t>
  </si>
  <si>
    <t xml:space="preserve">to lag (slow)</t>
  </si>
  <si>
    <r>
      <rPr>
        <sz val="9"/>
        <color rgb="FF000000"/>
        <rFont val="Noto Sans CJK SC"/>
        <family val="2"/>
      </rPr>
      <t xml:space="preserve">延遲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卡頓</t>
    </r>
  </si>
  <si>
    <t xml:space="preserve">jin-ci/kaat-deon</t>
  </si>
  <si>
    <t xml:space="preserve">tech/gaming term</t>
  </si>
  <si>
    <t xml:space="preserve">bị hack</t>
  </si>
  <si>
    <t xml:space="preserve">to be hacked</t>
  </si>
  <si>
    <t xml:space="preserve">被黑客攻擊</t>
  </si>
  <si>
    <t xml:space="preserve">bei-hak-haak-gung-gik</t>
  </si>
  <si>
    <t xml:space="preserve">follow</t>
  </si>
  <si>
    <t xml:space="preserve">to follow (social media)</t>
  </si>
  <si>
    <r>
      <rPr>
        <sz val="9"/>
        <color rgb="FF000000"/>
        <rFont val="Noto Sans CJK SC"/>
        <family val="2"/>
      </rPr>
      <t xml:space="preserve">跟隨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關注</t>
    </r>
  </si>
  <si>
    <t xml:space="preserve">gan-ceoi/gwaan-zyu</t>
  </si>
  <si>
    <t xml:space="preserve">like</t>
  </si>
  <si>
    <t xml:space="preserve">to like (social media)</t>
  </si>
  <si>
    <t xml:space="preserve">點讚</t>
  </si>
  <si>
    <t xml:space="preserve">dim-zaan</t>
  </si>
  <si>
    <t xml:space="preserve">comment</t>
  </si>
  <si>
    <r>
      <rPr>
        <sz val="9"/>
        <color rgb="FF000000"/>
        <rFont val="Noto Sans CJK SC"/>
        <family val="2"/>
      </rPr>
      <t xml:space="preserve">留言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評論</t>
    </r>
  </si>
  <si>
    <t xml:space="preserve">lau-jin/ping-leon</t>
  </si>
  <si>
    <t xml:space="preserve">story</t>
  </si>
  <si>
    <t xml:space="preserve">Instagram/Facebook story</t>
  </si>
  <si>
    <r>
      <rPr>
        <sz val="9"/>
        <color rgb="FF000000"/>
        <rFont val="Noto Sans CJK SC"/>
        <family val="2"/>
      </rPr>
      <t xml:space="preserve">動態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限時動態</t>
    </r>
  </si>
  <si>
    <t xml:space="preserve">dung-taai/haan-si-dung-taai</t>
  </si>
  <si>
    <t xml:space="preserve">reels</t>
  </si>
  <si>
    <t xml:space="preserve">short video (reels)</t>
  </si>
  <si>
    <t xml:space="preserve">短視頻</t>
  </si>
  <si>
    <t xml:space="preserve">dyun-si-pin</t>
  </si>
  <si>
    <t xml:space="preserve">TikTok</t>
  </si>
  <si>
    <r>
      <rPr>
        <sz val="9"/>
        <color rgb="FF000000"/>
        <rFont val="Arial"/>
        <family val="0"/>
        <charset val="1"/>
      </rPr>
      <t xml:space="preserve">TikTok/</t>
    </r>
    <r>
      <rPr>
        <sz val="9"/>
        <color rgb="FF000000"/>
        <rFont val="Noto Sans CJK SC"/>
        <family val="2"/>
      </rPr>
      <t xml:space="preserve">抖音</t>
    </r>
  </si>
  <si>
    <t xml:space="preserve">dau-jam</t>
  </si>
  <si>
    <t xml:space="preserve">called Douyin in China</t>
  </si>
  <si>
    <t xml:space="preserve">nội dung</t>
  </si>
  <si>
    <t xml:space="preserve">content (digital)</t>
  </si>
  <si>
    <t xml:space="preserve">內容</t>
  </si>
  <si>
    <t xml:space="preserve">noi-jung</t>
  </si>
  <si>
    <t xml:space="preserve">Sino-Viet: nội dung</t>
  </si>
  <si>
    <t xml:space="preserve">influencer / KOL</t>
  </si>
  <si>
    <t xml:space="preserve">influencer / key opinion leader</t>
  </si>
  <si>
    <r>
      <rPr>
        <sz val="9"/>
        <color rgb="FF000000"/>
        <rFont val="Noto Sans CJK SC"/>
        <family val="2"/>
      </rPr>
      <t xml:space="preserve">網紅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意見領袖</t>
    </r>
  </si>
  <si>
    <t xml:space="preserve">mong-hung/ji-gin-ling-sau</t>
  </si>
  <si>
    <t xml:space="preserve">chạy quảng cáo</t>
  </si>
  <si>
    <t xml:space="preserve">to run ads</t>
  </si>
  <si>
    <t xml:space="preserve">投放廣告</t>
  </si>
  <si>
    <t xml:space="preserve">tau-fong-gwong-gou</t>
  </si>
  <si>
    <t xml:space="preserve">hệ thống gợi ý</t>
  </si>
  <si>
    <t xml:space="preserve">recommendation algorithm</t>
  </si>
  <si>
    <r>
      <rPr>
        <sz val="9"/>
        <color rgb="FF000000"/>
        <rFont val="Noto Sans CJK SC"/>
        <family val="2"/>
      </rPr>
      <t xml:space="preserve">推薦系統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算法</t>
    </r>
  </si>
  <si>
    <t xml:space="preserve">teoi-zin-hai-tung/syun-faat</t>
  </si>
  <si>
    <t xml:space="preserve">ăn nhẹ</t>
  </si>
  <si>
    <t xml:space="preserve">light snack / to snack</t>
  </si>
  <si>
    <t xml:space="preserve">吃小食</t>
  </si>
  <si>
    <t xml:space="preserve">sik-siu-sik</t>
  </si>
  <si>
    <t xml:space="preserve">ăn sáng</t>
  </si>
  <si>
    <t xml:space="preserve">to eat breakfast</t>
  </si>
  <si>
    <t xml:space="preserve">食早餐</t>
  </si>
  <si>
    <t xml:space="preserve">sik-zou-caan</t>
  </si>
  <si>
    <t xml:space="preserve">ăn trưa</t>
  </si>
  <si>
    <t xml:space="preserve">to eat lunch</t>
  </si>
  <si>
    <t xml:space="preserve">食午餐</t>
  </si>
  <si>
    <t xml:space="preserve">sik-ng-caan</t>
  </si>
  <si>
    <t xml:space="preserve">ăn tối</t>
  </si>
  <si>
    <t xml:space="preserve">to eat dinner</t>
  </si>
  <si>
    <t xml:space="preserve">食晚餐</t>
  </si>
  <si>
    <t xml:space="preserve">sik-maan-caan</t>
  </si>
  <si>
    <t xml:space="preserve">ăn vặt</t>
  </si>
  <si>
    <t xml:space="preserve">snacking / street snacks</t>
  </si>
  <si>
    <t xml:space="preserve">吃零食</t>
  </si>
  <si>
    <t xml:space="preserve">sik-ling-sik</t>
  </si>
  <si>
    <t xml:space="preserve">quán bún bò</t>
  </si>
  <si>
    <t xml:space="preserve">bun bo hue restaurant</t>
  </si>
  <si>
    <t xml:space="preserve">順化牛肉粉店</t>
  </si>
  <si>
    <t xml:space="preserve">seon-faa-ngau-juk-fan-dim</t>
  </si>
  <si>
    <t xml:space="preserve">quán phở</t>
  </si>
  <si>
    <t xml:space="preserve">pho restaurant</t>
  </si>
  <si>
    <t xml:space="preserve">河粉店</t>
  </si>
  <si>
    <t xml:space="preserve">ho-fan-dim</t>
  </si>
  <si>
    <t xml:space="preserve">bếp ăn</t>
  </si>
  <si>
    <t xml:space="preserve">canteen / staff kitchen</t>
  </si>
  <si>
    <t xml:space="preserve">飯堂</t>
  </si>
  <si>
    <t xml:space="preserve">faan-tong</t>
  </si>
  <si>
    <t xml:space="preserve">đặt bàn</t>
  </si>
  <si>
    <t xml:space="preserve">to make a reservation (restaurant)</t>
  </si>
  <si>
    <t xml:space="preserve">訂位</t>
  </si>
  <si>
    <t xml:space="preserve">ding-wai</t>
  </si>
  <si>
    <t xml:space="preserve">gọi thêm</t>
  </si>
  <si>
    <t xml:space="preserve">to order more / refill</t>
  </si>
  <si>
    <r>
      <rPr>
        <sz val="9"/>
        <color rgb="FF000000"/>
        <rFont val="Noto Sans CJK SC"/>
        <family val="2"/>
      </rPr>
      <t xml:space="preserve">再叫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加點</t>
    </r>
  </si>
  <si>
    <t xml:space="preserve">zoi-giu/gaa-dim</t>
  </si>
  <si>
    <t xml:space="preserve">thực đơn</t>
  </si>
  <si>
    <t xml:space="preserve">menu</t>
  </si>
  <si>
    <t xml:space="preserve">菜單</t>
  </si>
  <si>
    <t xml:space="preserve">coi-daan</t>
  </si>
  <si>
    <t xml:space="preserve">Sino-Viet: thực đơn</t>
  </si>
  <si>
    <t xml:space="preserve">phần / suất</t>
  </si>
  <si>
    <t xml:space="preserve">portion / serving</t>
  </si>
  <si>
    <t xml:space="preserve">份</t>
  </si>
  <si>
    <t xml:space="preserve">size lớn / vừa / nhỏ</t>
  </si>
  <si>
    <t xml:space="preserve">large / medium / small (size)</t>
  </si>
  <si>
    <r>
      <rPr>
        <sz val="9"/>
        <color rgb="FF000000"/>
        <rFont val="Noto Sans CJK SC"/>
        <family val="2"/>
      </rPr>
      <t xml:space="preserve">大碼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中碼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小碼</t>
    </r>
  </si>
  <si>
    <t xml:space="preserve">daai-maa/zung-maa/siu-maa</t>
  </si>
  <si>
    <t xml:space="preserve">nước đá</t>
  </si>
  <si>
    <t xml:space="preserve">ice / iced water</t>
  </si>
  <si>
    <r>
      <rPr>
        <sz val="9"/>
        <color rgb="FF000000"/>
        <rFont val="Noto Sans CJK SC"/>
        <family val="2"/>
      </rPr>
      <t xml:space="preserve">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冰水</t>
    </r>
  </si>
  <si>
    <t xml:space="preserve">bing/bing-seoi</t>
  </si>
  <si>
    <t xml:space="preserve">crucial in Southern VN</t>
  </si>
  <si>
    <t xml:space="preserve">đá xay</t>
  </si>
  <si>
    <t xml:space="preserve">blended ice / crushed ice</t>
  </si>
  <si>
    <t xml:space="preserve">碎冰</t>
  </si>
  <si>
    <t xml:space="preserve">seoi-bing</t>
  </si>
  <si>
    <t xml:space="preserve">nước ngọt</t>
  </si>
  <si>
    <t xml:space="preserve">soft drink / soda</t>
  </si>
  <si>
    <t xml:space="preserve">汽水</t>
  </si>
  <si>
    <t xml:space="preserve">hei-seoi</t>
  </si>
  <si>
    <t xml:space="preserve">cà phê đen</t>
  </si>
  <si>
    <t xml:space="preserve">black coffee</t>
  </si>
  <si>
    <t xml:space="preserve">黑咖啡</t>
  </si>
  <si>
    <t xml:space="preserve">hak-gaa-fe</t>
  </si>
  <si>
    <t xml:space="preserve">cà phê sữa đá</t>
  </si>
  <si>
    <t xml:space="preserve">iced milk coffee</t>
  </si>
  <si>
    <t xml:space="preserve">奶茶冰咖啡</t>
  </si>
  <si>
    <t xml:space="preserve">naai-caa-bing-gaa-fe</t>
  </si>
  <si>
    <t xml:space="preserve">iconic VN drink</t>
  </si>
  <si>
    <t xml:space="preserve">sinh tố</t>
  </si>
  <si>
    <t xml:space="preserve">smoothie / blended fruit</t>
  </si>
  <si>
    <r>
      <rPr>
        <sz val="9"/>
        <color rgb="FF000000"/>
        <rFont val="Noto Sans CJK SC"/>
        <family val="2"/>
      </rPr>
      <t xml:space="preserve">果汁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奶昔</t>
    </r>
  </si>
  <si>
    <t xml:space="preserve">gwo-zap/naai-sik</t>
  </si>
  <si>
    <t xml:space="preserve">chè</t>
  </si>
  <si>
    <t xml:space="preserve">sweet dessert soup</t>
  </si>
  <si>
    <t xml:space="preserve">甜品湯</t>
  </si>
  <si>
    <t xml:space="preserve">tim-ban-tong</t>
  </si>
  <si>
    <t xml:space="preserve">cúi chào</t>
  </si>
  <si>
    <t xml:space="preserve">to bow in greeting</t>
  </si>
  <si>
    <t xml:space="preserve">鞠躬打招呼</t>
  </si>
  <si>
    <t xml:space="preserve">guk-gung-daa-ziu-fu</t>
  </si>
  <si>
    <t xml:space="preserve">bắt tay</t>
  </si>
  <si>
    <t xml:space="preserve">to shake hands</t>
  </si>
  <si>
    <t xml:space="preserve">握手</t>
  </si>
  <si>
    <t xml:space="preserve">aak-sau</t>
  </si>
  <si>
    <t xml:space="preserve">nụ cười</t>
  </si>
  <si>
    <t xml:space="preserve">smile / a smile</t>
  </si>
  <si>
    <t xml:space="preserve">微笑</t>
  </si>
  <si>
    <t xml:space="preserve">mei-siu</t>
  </si>
  <si>
    <t xml:space="preserve">lịch sự</t>
  </si>
  <si>
    <t xml:space="preserve">polite / courteous</t>
  </si>
  <si>
    <t xml:space="preserve">有禮貌</t>
  </si>
  <si>
    <t xml:space="preserve">jau-lai-maau</t>
  </si>
  <si>
    <t xml:space="preserve">Sino-Viet: lịch sự</t>
  </si>
  <si>
    <t xml:space="preserve">thô lỗ</t>
  </si>
  <si>
    <t xml:space="preserve">rude</t>
  </si>
  <si>
    <r>
      <rPr>
        <sz val="9"/>
        <color rgb="FF000000"/>
        <rFont val="Noto Sans CJK SC"/>
        <family val="2"/>
      </rPr>
      <t xml:space="preserve">粗魯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無禮</t>
    </r>
  </si>
  <si>
    <t xml:space="preserve">cou-lou/mou-lai</t>
  </si>
  <si>
    <t xml:space="preserve">tế nhị</t>
  </si>
  <si>
    <t xml:space="preserve">tactful / delicate</t>
  </si>
  <si>
    <r>
      <rPr>
        <sz val="9"/>
        <color rgb="FF000000"/>
        <rFont val="Noto Sans CJK SC"/>
        <family val="2"/>
      </rPr>
      <t xml:space="preserve">婉轉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細膩</t>
    </r>
  </si>
  <si>
    <t xml:space="preserve">jyun-zyun/sai-nei</t>
  </si>
  <si>
    <t xml:space="preserve">nói khéo</t>
  </si>
  <si>
    <t xml:space="preserve">to say things diplomatically</t>
  </si>
  <si>
    <t xml:space="preserve">說話委婉</t>
  </si>
  <si>
    <t xml:space="preserve">syut-waa-wai-jyun</t>
  </si>
  <si>
    <t xml:space="preserve">giữ thể diện</t>
  </si>
  <si>
    <t xml:space="preserve">to save face</t>
  </si>
  <si>
    <t xml:space="preserve">保住面子</t>
  </si>
  <si>
    <t xml:space="preserve">bou-zyu-min-zi</t>
  </si>
  <si>
    <t xml:space="preserve">important in VN culture</t>
  </si>
  <si>
    <t xml:space="preserve">mất mặt</t>
  </si>
  <si>
    <t xml:space="preserve">to lose face</t>
  </si>
  <si>
    <t xml:space="preserve">丟臉</t>
  </si>
  <si>
    <t xml:space="preserve">diu-lim</t>
  </si>
  <si>
    <t xml:space="preserve">to be humble / modest</t>
  </si>
  <si>
    <t xml:space="preserve">謙遜</t>
  </si>
  <si>
    <t xml:space="preserve">him-seon</t>
  </si>
  <si>
    <t xml:space="preserve">tự trọng</t>
  </si>
  <si>
    <t xml:space="preserve">self-respect</t>
  </si>
  <si>
    <t xml:space="preserve">自尊</t>
  </si>
  <si>
    <t xml:space="preserve">zi-zyun</t>
  </si>
  <si>
    <t xml:space="preserve">Sino-Viet: tự trọng</t>
  </si>
  <si>
    <t xml:space="preserve">nhường nhịn</t>
  </si>
  <si>
    <t xml:space="preserve">to yield / be accommodating</t>
  </si>
  <si>
    <t xml:space="preserve">忍讓</t>
  </si>
  <si>
    <t xml:space="preserve">jan-joeng</t>
  </si>
  <si>
    <t xml:space="preserve">biết ơn</t>
  </si>
  <si>
    <t xml:space="preserve">to be grateful</t>
  </si>
  <si>
    <r>
      <rPr>
        <sz val="9"/>
        <color rgb="FF000000"/>
        <rFont val="Noto Sans CJK SC"/>
        <family val="2"/>
      </rPr>
      <t xml:space="preserve">感恩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感謝</t>
    </r>
  </si>
  <si>
    <t xml:space="preserve">gam-jan/gam-ze</t>
  </si>
  <si>
    <t xml:space="preserve">vô ơn</t>
  </si>
  <si>
    <t xml:space="preserve">ungrateful</t>
  </si>
  <si>
    <t xml:space="preserve">忘恩負義</t>
  </si>
  <si>
    <t xml:space="preserve">mong-jan-fu-ji</t>
  </si>
  <si>
    <t xml:space="preserve">chu đáo</t>
  </si>
  <si>
    <t xml:space="preserve">thoughtful / attentive</t>
  </si>
  <si>
    <r>
      <rPr>
        <sz val="9"/>
        <color rgb="FF000000"/>
        <rFont val="Noto Sans CJK SC"/>
        <family val="2"/>
      </rPr>
      <t xml:space="preserve">周到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體貼</t>
    </r>
  </si>
  <si>
    <t xml:space="preserve">zau-dou/tai-tip</t>
  </si>
  <si>
    <t xml:space="preserve">tập thể dục</t>
  </si>
  <si>
    <t xml:space="preserve">to exercise</t>
  </si>
  <si>
    <t xml:space="preserve">做運動</t>
  </si>
  <si>
    <t xml:space="preserve">zou-wan-dung</t>
  </si>
  <si>
    <t xml:space="preserve">ăn uống lành mạnh</t>
  </si>
  <si>
    <t xml:space="preserve">healthy eating</t>
  </si>
  <si>
    <t xml:space="preserve">健康飲食</t>
  </si>
  <si>
    <t xml:space="preserve">gin-hong-jam-sik</t>
  </si>
  <si>
    <t xml:space="preserve">ngủ đủ giấc</t>
  </si>
  <si>
    <t xml:space="preserve">to get enough sleep</t>
  </si>
  <si>
    <t xml:space="preserve">睡眠充足</t>
  </si>
  <si>
    <t xml:space="preserve">seoi-min-cung-zuk</t>
  </si>
  <si>
    <t xml:space="preserve">uống đủ nước</t>
  </si>
  <si>
    <t xml:space="preserve">to drink enough water</t>
  </si>
  <si>
    <t xml:space="preserve">多喝水</t>
  </si>
  <si>
    <t xml:space="preserve">do-hot-seoi</t>
  </si>
  <si>
    <t xml:space="preserve">cân bằng cuộc sống</t>
  </si>
  <si>
    <t xml:space="preserve">work-life balance</t>
  </si>
  <si>
    <t xml:space="preserve">工作生活平衡</t>
  </si>
  <si>
    <t xml:space="preserve">gung-zok-saang-wut-ping-hang</t>
  </si>
  <si>
    <t xml:space="preserve">giảm cân</t>
  </si>
  <si>
    <t xml:space="preserve">to lose weight</t>
  </si>
  <si>
    <t xml:space="preserve">減肥</t>
  </si>
  <si>
    <t xml:space="preserve">gaam-fei</t>
  </si>
  <si>
    <t xml:space="preserve">tăng cân</t>
  </si>
  <si>
    <t xml:space="preserve">to gain weight</t>
  </si>
  <si>
    <t xml:space="preserve">增重</t>
  </si>
  <si>
    <t xml:space="preserve">zang-zung</t>
  </si>
  <si>
    <t xml:space="preserve">thừa cân</t>
  </si>
  <si>
    <t xml:space="preserve">overweight</t>
  </si>
  <si>
    <t xml:space="preserve">超重</t>
  </si>
  <si>
    <t xml:space="preserve">ciu-zung</t>
  </si>
  <si>
    <t xml:space="preserve">suy dinh dưỡng</t>
  </si>
  <si>
    <t xml:space="preserve">malnutrition</t>
  </si>
  <si>
    <t xml:space="preserve">營養不良</t>
  </si>
  <si>
    <t xml:space="preserve">jing-joeng-bat-loeng</t>
  </si>
  <si>
    <t xml:space="preserve">vitamin</t>
  </si>
  <si>
    <r>
      <rPr>
        <sz val="9"/>
        <color rgb="FF000000"/>
        <rFont val="Noto Sans CJK SC"/>
        <family val="2"/>
      </rPr>
      <t xml:space="preserve">維他命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維生素</t>
    </r>
  </si>
  <si>
    <t xml:space="preserve">wai-taa-ming/wai-saang-sou</t>
  </si>
  <si>
    <t xml:space="preserve">protein</t>
  </si>
  <si>
    <t xml:space="preserve">蛋白質</t>
  </si>
  <si>
    <t xml:space="preserve">daan-baak-zat</t>
  </si>
  <si>
    <t xml:space="preserve">carbohydrate</t>
  </si>
  <si>
    <t xml:space="preserve">碳水化合物</t>
  </si>
  <si>
    <t xml:space="preserve">taan-seoi-faa-hap-mat</t>
  </si>
  <si>
    <t xml:space="preserve">chế độ ăn</t>
  </si>
  <si>
    <t xml:space="preserve">diet</t>
  </si>
  <si>
    <r>
      <rPr>
        <sz val="9"/>
        <color rgb="FF000000"/>
        <rFont val="Noto Sans CJK SC"/>
        <family val="2"/>
      </rPr>
      <t xml:space="preserve">飲食習慣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飲食計劃</t>
    </r>
  </si>
  <si>
    <t xml:space="preserve">jam-sik-zaap-gwaan</t>
  </si>
  <si>
    <t xml:space="preserve">thiền</t>
  </si>
  <si>
    <t xml:space="preserve">meditation</t>
  </si>
  <si>
    <r>
      <rPr>
        <sz val="9"/>
        <color rgb="FF000000"/>
        <rFont val="Noto Sans CJK SC"/>
        <family val="2"/>
      </rPr>
      <t xml:space="preserve">冥想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禪</t>
    </r>
  </si>
  <si>
    <t xml:space="preserve">ming-soeng/sim</t>
  </si>
  <si>
    <t xml:space="preserve">Sino-Viet: thiền</t>
  </si>
  <si>
    <t xml:space="preserve">tác phẩm</t>
  </si>
  <si>
    <t xml:space="preserve">work (of art/literature)</t>
  </si>
  <si>
    <t xml:space="preserve">作品</t>
  </si>
  <si>
    <t xml:space="preserve">zok-ban</t>
  </si>
  <si>
    <t xml:space="preserve">Sino-Viet: tác phẩm</t>
  </si>
  <si>
    <t xml:space="preserve">tác giả</t>
  </si>
  <si>
    <t xml:space="preserve">author</t>
  </si>
  <si>
    <t xml:space="preserve">作者</t>
  </si>
  <si>
    <t xml:space="preserve">zok-ze</t>
  </si>
  <si>
    <t xml:space="preserve">Sino-Viet: tác giả</t>
  </si>
  <si>
    <t xml:space="preserve">nhà văn</t>
  </si>
  <si>
    <t xml:space="preserve">writer / novelist</t>
  </si>
  <si>
    <t xml:space="preserve">作家</t>
  </si>
  <si>
    <t xml:space="preserve">zok-gaa</t>
  </si>
  <si>
    <t xml:space="preserve">nhà thơ</t>
  </si>
  <si>
    <t xml:space="preserve">poet</t>
  </si>
  <si>
    <t xml:space="preserve">詩人</t>
  </si>
  <si>
    <t xml:space="preserve">si-jan</t>
  </si>
  <si>
    <t xml:space="preserve">thơ</t>
  </si>
  <si>
    <t xml:space="preserve">poem / poetry</t>
  </si>
  <si>
    <t xml:space="preserve">詩</t>
  </si>
  <si>
    <t xml:space="preserve">Sino-Viet: thi</t>
  </si>
  <si>
    <t xml:space="preserve">truyện</t>
  </si>
  <si>
    <t xml:space="preserve">story / novel / tale</t>
  </si>
  <si>
    <r>
      <rPr>
        <sz val="9"/>
        <color rgb="FF000000"/>
        <rFont val="Noto Sans CJK SC"/>
        <family val="2"/>
      </rPr>
      <t xml:space="preserve">故事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小說</t>
    </r>
  </si>
  <si>
    <t xml:space="preserve">gu-si/siu-syut</t>
  </si>
  <si>
    <t xml:space="preserve">truyện ngắn</t>
  </si>
  <si>
    <t xml:space="preserve">short story</t>
  </si>
  <si>
    <t xml:space="preserve">短篇小說</t>
  </si>
  <si>
    <t xml:space="preserve">dyun-pin-siu-syut</t>
  </si>
  <si>
    <t xml:space="preserve">tiểu thuyết</t>
  </si>
  <si>
    <t xml:space="preserve">novel</t>
  </si>
  <si>
    <t xml:space="preserve">長篇小說</t>
  </si>
  <si>
    <t xml:space="preserve">coeng-pin-siu-syut</t>
  </si>
  <si>
    <t xml:space="preserve">Sino-Viet: tiểu thuyết</t>
  </si>
  <si>
    <t xml:space="preserve">nhân vật</t>
  </si>
  <si>
    <t xml:space="preserve">character (in story)</t>
  </si>
  <si>
    <t xml:space="preserve">人物</t>
  </si>
  <si>
    <t xml:space="preserve">jan-mat</t>
  </si>
  <si>
    <t xml:space="preserve">Sino-Viet: nhân vật</t>
  </si>
  <si>
    <t xml:space="preserve">cốt truyện</t>
  </si>
  <si>
    <t xml:space="preserve">plot</t>
  </si>
  <si>
    <r>
      <rPr>
        <sz val="9"/>
        <color rgb="FF000000"/>
        <rFont val="Noto Sans CJK SC"/>
        <family val="2"/>
      </rPr>
      <t xml:space="preserve">情節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故事情節</t>
    </r>
  </si>
  <si>
    <t xml:space="preserve">cing-zit/gu-si-cing-zit</t>
  </si>
  <si>
    <t xml:space="preserve">chủ đề</t>
  </si>
  <si>
    <t xml:space="preserve">theme / topic</t>
  </si>
  <si>
    <t xml:space="preserve">主題</t>
  </si>
  <si>
    <t xml:space="preserve">zyu-tai</t>
  </si>
  <si>
    <t xml:space="preserve">Sino-Viet: chủ đề</t>
  </si>
  <si>
    <t xml:space="preserve">biểu tượng</t>
  </si>
  <si>
    <t xml:space="preserve">symbol</t>
  </si>
  <si>
    <t xml:space="preserve">象徵</t>
  </si>
  <si>
    <t xml:space="preserve">zoeng-zing</t>
  </si>
  <si>
    <t xml:space="preserve">Sino-Viet: biểu tượng</t>
  </si>
  <si>
    <t xml:space="preserve">ẩn dụ</t>
  </si>
  <si>
    <t xml:space="preserve">metaphor</t>
  </si>
  <si>
    <r>
      <rPr>
        <sz val="9"/>
        <color rgb="FF000000"/>
        <rFont val="Noto Sans CJK SC"/>
        <family val="2"/>
      </rPr>
      <t xml:space="preserve">比喻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隱喻</t>
    </r>
  </si>
  <si>
    <t xml:space="preserve">bei-jyu/jan-jyu</t>
  </si>
  <si>
    <t xml:space="preserve">Sino-Viet: ẩn dụ</t>
  </si>
  <si>
    <t xml:space="preserve">simile / comparison</t>
  </si>
  <si>
    <r>
      <rPr>
        <sz val="9"/>
        <color rgb="FF000000"/>
        <rFont val="Noto Sans CJK SC"/>
        <family val="2"/>
      </rPr>
      <t xml:space="preserve">比較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明喻</t>
    </r>
  </si>
  <si>
    <t xml:space="preserve">bei-gaau/ming-jyu</t>
  </si>
  <si>
    <t xml:space="preserve">phê bình văn học</t>
  </si>
  <si>
    <t xml:space="preserve">literary criticism</t>
  </si>
  <si>
    <t xml:space="preserve">文學批評</t>
  </si>
  <si>
    <t xml:space="preserve">man-hok-pai-ping</t>
  </si>
  <si>
    <t xml:space="preserve">triển lãm nghệ thuật</t>
  </si>
  <si>
    <t xml:space="preserve">art exhibition</t>
  </si>
  <si>
    <t xml:space="preserve">藝術展覽</t>
  </si>
  <si>
    <t xml:space="preserve">ngai-sut-zin-laam</t>
  </si>
  <si>
    <t xml:space="preserve">điêu khắc</t>
  </si>
  <si>
    <t xml:space="preserve">sculpture</t>
  </si>
  <si>
    <r>
      <rPr>
        <sz val="9"/>
        <color rgb="FF000000"/>
        <rFont val="Noto Sans CJK SC"/>
        <family val="2"/>
      </rPr>
      <t xml:space="preserve">雕刻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雕塑</t>
    </r>
  </si>
  <si>
    <t xml:space="preserve">diu-hak/diu-sou</t>
  </si>
  <si>
    <t xml:space="preserve">Sino-Viet: điêu khắc</t>
  </si>
  <si>
    <t xml:space="preserve">tranh vẽ</t>
  </si>
  <si>
    <t xml:space="preserve">painting / drawing</t>
  </si>
  <si>
    <t xml:space="preserve">畫作</t>
  </si>
  <si>
    <t xml:space="preserve">waa-zok</t>
  </si>
  <si>
    <t xml:space="preserve">sơn dầu</t>
  </si>
  <si>
    <t xml:space="preserve">oil painting</t>
  </si>
  <si>
    <t xml:space="preserve">油畫</t>
  </si>
  <si>
    <t xml:space="preserve">jau-waa</t>
  </si>
  <si>
    <t xml:space="preserve">nhiếp ảnh</t>
  </si>
  <si>
    <t xml:space="preserve">photography</t>
  </si>
  <si>
    <t xml:space="preserve">Sino-Viet: nhiếp ảnh</t>
  </si>
  <si>
    <t xml:space="preserve">Trước hết</t>
  </si>
  <si>
    <t xml:space="preserve">First of all</t>
  </si>
  <si>
    <t xml:space="preserve">首先</t>
  </si>
  <si>
    <t xml:space="preserve">sau-sin</t>
  </si>
  <si>
    <t xml:space="preserve">Thứ nhất là</t>
  </si>
  <si>
    <t xml:space="preserve">Firstly</t>
  </si>
  <si>
    <t xml:space="preserve">第一</t>
  </si>
  <si>
    <t xml:space="preserve">dai-jat</t>
  </si>
  <si>
    <t xml:space="preserve">Tiếp theo</t>
  </si>
  <si>
    <t xml:space="preserve">Next / Following that</t>
  </si>
  <si>
    <t xml:space="preserve">接下來</t>
  </si>
  <si>
    <t xml:space="preserve">zip-haa-loi</t>
  </si>
  <si>
    <t xml:space="preserve">Sau đó</t>
  </si>
  <si>
    <t xml:space="preserve">After that / Then</t>
  </si>
  <si>
    <r>
      <rPr>
        <sz val="9"/>
        <color rgb="FF000000"/>
        <rFont val="Noto Sans CJK SC"/>
        <family val="2"/>
      </rPr>
      <t xml:space="preserve">之後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然後</t>
    </r>
  </si>
  <si>
    <t xml:space="preserve">zi-hau/jin-hau</t>
  </si>
  <si>
    <t xml:space="preserve">Cuối cùng</t>
  </si>
  <si>
    <t xml:space="preserve">Finally</t>
  </si>
  <si>
    <t xml:space="preserve">最後</t>
  </si>
  <si>
    <t xml:space="preserve">zeoi-hau</t>
  </si>
  <si>
    <t xml:space="preserve">Trên thực tế</t>
  </si>
  <si>
    <t xml:space="preserve">In practice / In reality</t>
  </si>
  <si>
    <t xml:space="preserve">實際上</t>
  </si>
  <si>
    <t xml:space="preserve">sat-zai-soeng</t>
  </si>
  <si>
    <t xml:space="preserve">Nói chung</t>
  </si>
  <si>
    <t xml:space="preserve">Generally / In general</t>
  </si>
  <si>
    <t xml:space="preserve">一般來說</t>
  </si>
  <si>
    <t xml:space="preserve">jat-bun-loi-syut</t>
  </si>
  <si>
    <t xml:space="preserve">Đặc biệt là</t>
  </si>
  <si>
    <t xml:space="preserve">Especially / In particular</t>
  </si>
  <si>
    <r>
      <rPr>
        <sz val="9"/>
        <color rgb="FF000000"/>
        <rFont val="Noto Sans CJK SC"/>
        <family val="2"/>
      </rPr>
      <t xml:space="preserve">尤其是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特別是</t>
    </r>
  </si>
  <si>
    <t xml:space="preserve">jau-kei-si/dak-bit-si</t>
  </si>
  <si>
    <t xml:space="preserve">Ví dụ như</t>
  </si>
  <si>
    <t xml:space="preserve">For example / Such as</t>
  </si>
  <si>
    <t xml:space="preserve">例如</t>
  </si>
  <si>
    <t xml:space="preserve">lai-jyu</t>
  </si>
  <si>
    <t xml:space="preserve">Tương tự như vậy</t>
  </si>
  <si>
    <t xml:space="preserve">Similarly</t>
  </si>
  <si>
    <t xml:space="preserve">同樣地</t>
  </si>
  <si>
    <t xml:space="preserve">tung-joeng-dei</t>
  </si>
  <si>
    <t xml:space="preserve">Ngược lại</t>
  </si>
  <si>
    <t xml:space="preserve">On the contrary</t>
  </si>
  <si>
    <t xml:space="preserve">相反地</t>
  </si>
  <si>
    <t xml:space="preserve">soeng-faan-dei</t>
  </si>
  <si>
    <t xml:space="preserve">Thế nhưng</t>
  </si>
  <si>
    <t xml:space="preserve">Nevertheless / Even so</t>
  </si>
  <si>
    <r>
      <rPr>
        <sz val="9"/>
        <color rgb="FF000000"/>
        <rFont val="Noto Sans CJK SC"/>
        <family val="2"/>
      </rPr>
      <t xml:space="preserve">然而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儘管如此</t>
    </r>
  </si>
  <si>
    <t xml:space="preserve">jin-ji/gan-gun-jyu-ci</t>
  </si>
  <si>
    <t xml:space="preserve">Rõ ràng là</t>
  </si>
  <si>
    <t xml:space="preserve">Clearly / Obviously</t>
  </si>
  <si>
    <t xml:space="preserve">顯然是</t>
  </si>
  <si>
    <t xml:space="preserve">hin-jin-si</t>
  </si>
  <si>
    <t xml:space="preserve">Không nghi ngờ gì</t>
  </si>
  <si>
    <t xml:space="preserve">Without a doubt</t>
  </si>
  <si>
    <t xml:space="preserve">毫無疑問</t>
  </si>
  <si>
    <t xml:space="preserve">hou-mou-ji-man</t>
  </si>
  <si>
    <t xml:space="preserve">Điều thú vị là</t>
  </si>
  <si>
    <t xml:space="preserve">Interestingly</t>
  </si>
  <si>
    <t xml:space="preserve">有趣的是</t>
  </si>
  <si>
    <t xml:space="preserve">jau-ceoi-dik-si</t>
  </si>
  <si>
    <t xml:space="preserve">Đáng tiếc là</t>
  </si>
  <si>
    <t xml:space="preserve">Unfortunately</t>
  </si>
  <si>
    <r>
      <rPr>
        <sz val="9"/>
        <color rgb="FF000000"/>
        <rFont val="Noto Sans CJK SC"/>
        <family val="2"/>
      </rPr>
      <t xml:space="preserve">可惜的是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遺憾的是</t>
    </r>
  </si>
  <si>
    <t xml:space="preserve">ho-sik-dik-si/ji-ham-dik-si</t>
  </si>
  <si>
    <t xml:space="preserve">May mắn là</t>
  </si>
  <si>
    <t xml:space="preserve">Fortunately / Luckily</t>
  </si>
  <si>
    <r>
      <rPr>
        <sz val="9"/>
        <color rgb="FF000000"/>
        <rFont val="Noto Sans CJK SC"/>
        <family val="2"/>
      </rPr>
      <t xml:space="preserve">幸好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幸運的是</t>
    </r>
  </si>
  <si>
    <t xml:space="preserve">hang-hou/hang-wan-dik-si</t>
  </si>
  <si>
    <t xml:space="preserve">Điều quan trọng hơn</t>
  </si>
  <si>
    <t xml:space="preserve">More importantly</t>
  </si>
  <si>
    <t xml:space="preserve">更重要的是</t>
  </si>
  <si>
    <t xml:space="preserve">gang-zung-jiu-dik-si</t>
  </si>
  <si>
    <t xml:space="preserve">Tóm lại</t>
  </si>
  <si>
    <t xml:space="preserve">In summary / To sum up</t>
  </si>
  <si>
    <t xml:space="preserve">總的來說</t>
  </si>
  <si>
    <t xml:space="preserve">zung-dik-loi-syut</t>
  </si>
  <si>
    <t xml:space="preserve">Như đã đề cập</t>
  </si>
  <si>
    <t xml:space="preserve">As mentioned</t>
  </si>
  <si>
    <t xml:space="preserve">如前所述</t>
  </si>
  <si>
    <t xml:space="preserve">jyu-cin-so-seot</t>
  </si>
  <si>
    <t xml:space="preserve">Giả sử</t>
  </si>
  <si>
    <t xml:space="preserve">Suppose / Imagine that</t>
  </si>
  <si>
    <r>
      <rPr>
        <sz val="9"/>
        <color rgb="FF000000"/>
        <rFont val="Noto Sans CJK SC"/>
        <family val="2"/>
      </rPr>
      <t xml:space="preserve">假設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設想</t>
    </r>
  </si>
  <si>
    <t xml:space="preserve">gaa-cit/cit-soeng</t>
  </si>
  <si>
    <t xml:space="preserve">Nếu... thì...</t>
  </si>
  <si>
    <t xml:space="preserve">If... then...</t>
  </si>
  <si>
    <r>
      <rPr>
        <sz val="9"/>
        <color rgb="FF000000"/>
        <rFont val="Noto Sans CJK SC"/>
        <family val="2"/>
      </rPr>
      <t xml:space="preserve">如果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就</t>
    </r>
    <r>
      <rPr>
        <sz val="9"/>
        <color rgb="FF000000"/>
        <rFont val="Arial"/>
        <family val="0"/>
        <charset val="1"/>
      </rPr>
      <t xml:space="preserve">...</t>
    </r>
  </si>
  <si>
    <t xml:space="preserve">jyu-gwo...zau...</t>
  </si>
  <si>
    <t xml:space="preserve">Miễn là</t>
  </si>
  <si>
    <t xml:space="preserve">As long as / Provided that</t>
  </si>
  <si>
    <t xml:space="preserve">只要</t>
  </si>
  <si>
    <t xml:space="preserve">zi-jiu</t>
  </si>
  <si>
    <t xml:space="preserve">Trừ khi</t>
  </si>
  <si>
    <t xml:space="preserve">Unless</t>
  </si>
  <si>
    <t xml:space="preserve">除非</t>
  </si>
  <si>
    <t xml:space="preserve">ceoi-fei</t>
  </si>
  <si>
    <t xml:space="preserve">Sino-Viet: trừ khi</t>
  </si>
  <si>
    <t xml:space="preserve">Dù... đi nữa</t>
  </si>
  <si>
    <t xml:space="preserve">Even if...</t>
  </si>
  <si>
    <r>
      <rPr>
        <sz val="9"/>
        <color rgb="FF000000"/>
        <rFont val="Noto Sans CJK SC"/>
        <family val="2"/>
      </rPr>
      <t xml:space="preserve">即使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也</t>
    </r>
    <r>
      <rPr>
        <sz val="9"/>
        <color rgb="FF000000"/>
        <rFont val="Arial"/>
        <family val="0"/>
        <charset val="1"/>
      </rPr>
      <t xml:space="preserve">...</t>
    </r>
  </si>
  <si>
    <t xml:space="preserve">zik-si...je...</t>
  </si>
  <si>
    <t xml:space="preserve">Trong trường hợp</t>
  </si>
  <si>
    <t xml:space="preserve">In the case of / In case</t>
  </si>
  <si>
    <r>
      <rPr>
        <sz val="9"/>
        <color rgb="FF000000"/>
        <rFont val="Noto Sans CJK SC"/>
        <family val="2"/>
      </rPr>
      <t xml:space="preserve">萬一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情況下</t>
    </r>
  </si>
  <si>
    <t xml:space="preserve">maan-jat/zoi...cing-fong-haa</t>
  </si>
  <si>
    <t xml:space="preserve">Tùy theo</t>
  </si>
  <si>
    <t xml:space="preserve">Depending on</t>
  </si>
  <si>
    <r>
      <rPr>
        <sz val="9"/>
        <color rgb="FF000000"/>
        <rFont val="Noto Sans CJK SC"/>
        <family val="2"/>
      </rPr>
      <t xml:space="preserve">取決於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視乎</t>
    </r>
  </si>
  <si>
    <t xml:space="preserve">ceoi-kyut-jyu/si-fu</t>
  </si>
  <si>
    <t xml:space="preserve">Hễ... là...</t>
  </si>
  <si>
    <t xml:space="preserve">Whenever... / As soon as...</t>
  </si>
  <si>
    <r>
      <rPr>
        <sz val="9"/>
        <color rgb="FF000000"/>
        <rFont val="Noto Sans CJK SC"/>
        <family val="2"/>
      </rPr>
      <t xml:space="preserve">一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就</t>
    </r>
    <r>
      <rPr>
        <sz val="9"/>
        <color rgb="FF000000"/>
        <rFont val="Arial"/>
        <family val="0"/>
        <charset val="1"/>
      </rPr>
      <t xml:space="preserve">...</t>
    </r>
  </si>
  <si>
    <t xml:space="preserve">jat...zau...</t>
  </si>
  <si>
    <t xml:space="preserve">Bao giờ cũng</t>
  </si>
  <si>
    <t xml:space="preserve">Always / Invariably</t>
  </si>
  <si>
    <r>
      <rPr>
        <sz val="9"/>
        <color rgb="FF000000"/>
        <rFont val="Noto Sans CJK SC"/>
        <family val="2"/>
      </rPr>
      <t xml:space="preserve">總是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永遠</t>
    </r>
  </si>
  <si>
    <t xml:space="preserve">zung-si/wing-jyun</t>
  </si>
  <si>
    <t xml:space="preserve">Lần này lần khác</t>
  </si>
  <si>
    <t xml:space="preserve">time and time again</t>
  </si>
  <si>
    <t xml:space="preserve">一次又一次</t>
  </si>
  <si>
    <t xml:space="preserve">jat-ci-jau-jat-ci</t>
  </si>
  <si>
    <t xml:space="preserve">đưa ra quyết định</t>
  </si>
  <si>
    <t xml:space="preserve">to make a decision</t>
  </si>
  <si>
    <t xml:space="preserve">作出決定</t>
  </si>
  <si>
    <t xml:space="preserve">zok-ceot-kyut-ding</t>
  </si>
  <si>
    <t xml:space="preserve">chú ý đến</t>
  </si>
  <si>
    <t xml:space="preserve">to pay attention to</t>
  </si>
  <si>
    <t xml:space="preserve">注意</t>
  </si>
  <si>
    <t xml:space="preserve">zyu-ji</t>
  </si>
  <si>
    <t xml:space="preserve">quan tâm đến</t>
  </si>
  <si>
    <t xml:space="preserve">to care about / be concerned with</t>
  </si>
  <si>
    <t xml:space="preserve">phụ thuộc vào</t>
  </si>
  <si>
    <t xml:space="preserve">to depend on</t>
  </si>
  <si>
    <r>
      <rPr>
        <sz val="9"/>
        <color rgb="FF000000"/>
        <rFont val="Noto Sans CJK SC"/>
        <family val="2"/>
      </rPr>
      <t xml:space="preserve">依賴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取決於</t>
    </r>
  </si>
  <si>
    <t xml:space="preserve">ji-laai/ceoi-kyut-jyu</t>
  </si>
  <si>
    <t xml:space="preserve">tận dụng</t>
  </si>
  <si>
    <t xml:space="preserve">to make use of / take advantage of</t>
  </si>
  <si>
    <r>
      <rPr>
        <sz val="9"/>
        <color rgb="FF000000"/>
        <rFont val="Noto Sans CJK SC"/>
        <family val="2"/>
      </rPr>
      <t xml:space="preserve">利用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充分利用</t>
    </r>
  </si>
  <si>
    <t xml:space="preserve">lei-jung/cung-fan-lei-jung</t>
  </si>
  <si>
    <t xml:space="preserve">Sino-Viet: tận dụng</t>
  </si>
  <si>
    <t xml:space="preserve">đáp ứng nhu cầu</t>
  </si>
  <si>
    <t xml:space="preserve">to meet the needs</t>
  </si>
  <si>
    <t xml:space="preserve">滿足需求</t>
  </si>
  <si>
    <t xml:space="preserve">mun-zuk-seoi-kau</t>
  </si>
  <si>
    <t xml:space="preserve">đặt ra vấn đề</t>
  </si>
  <si>
    <t xml:space="preserve">to raise an issue</t>
  </si>
  <si>
    <t xml:space="preserve">giải quyết vấn đề</t>
  </si>
  <si>
    <t xml:space="preserve">to solve a problem</t>
  </si>
  <si>
    <t xml:space="preserve">解決問題</t>
  </si>
  <si>
    <t xml:space="preserve">gaai-kyut-man-tai</t>
  </si>
  <si>
    <t xml:space="preserve">nâng cao chất lượng</t>
  </si>
  <si>
    <t xml:space="preserve">to improve quality</t>
  </si>
  <si>
    <t xml:space="preserve">提高質量</t>
  </si>
  <si>
    <t xml:space="preserve">tai-gou-zat-loeng</t>
  </si>
  <si>
    <t xml:space="preserve">xây dựng mối quan hệ</t>
  </si>
  <si>
    <t xml:space="preserve">to build relationships</t>
  </si>
  <si>
    <t xml:space="preserve">建立關係</t>
  </si>
  <si>
    <t xml:space="preserve">gin-laap-gwaan-hai</t>
  </si>
  <si>
    <t xml:space="preserve">tạo ra giá trị</t>
  </si>
  <si>
    <t xml:space="preserve">to create value</t>
  </si>
  <si>
    <t xml:space="preserve">創造價值</t>
  </si>
  <si>
    <t xml:space="preserve">cong-zou-gaa-zik</t>
  </si>
  <si>
    <t xml:space="preserve">phát huy tiềm năng</t>
  </si>
  <si>
    <t xml:space="preserve">to develop potential</t>
  </si>
  <si>
    <t xml:space="preserve">發揮潛能</t>
  </si>
  <si>
    <t xml:space="preserve">faat-fai-cim-nang</t>
  </si>
  <si>
    <t xml:space="preserve">đẩy mạnh</t>
  </si>
  <si>
    <t xml:space="preserve">to push forward / promote</t>
  </si>
  <si>
    <r>
      <rPr>
        <sz val="9"/>
        <color rgb="FF000000"/>
        <rFont val="Noto Sans CJK SC"/>
        <family val="2"/>
      </rPr>
      <t xml:space="preserve">推進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加強</t>
    </r>
  </si>
  <si>
    <t xml:space="preserve">teoi-zeon/gaa-koeng</t>
  </si>
  <si>
    <t xml:space="preserve">hỗ trợ</t>
  </si>
  <si>
    <t xml:space="preserve">to support / assist</t>
  </si>
  <si>
    <r>
      <rPr>
        <sz val="9"/>
        <color rgb="FF000000"/>
        <rFont val="Noto Sans CJK SC"/>
        <family val="2"/>
      </rPr>
      <t xml:space="preserve">支持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輔助</t>
    </r>
  </si>
  <si>
    <t xml:space="preserve">zi-ci/fu-zo</t>
  </si>
  <si>
    <t xml:space="preserve">Sino-Viet: hỗ trợ</t>
  </si>
  <si>
    <t xml:space="preserve">phản ánh</t>
  </si>
  <si>
    <t xml:space="preserve">to reflect / give feedback</t>
  </si>
  <si>
    <t xml:space="preserve">反映</t>
  </si>
  <si>
    <t xml:space="preserve">faan-jing</t>
  </si>
  <si>
    <t xml:space="preserve">Sino-Viet: phản ánh</t>
  </si>
  <si>
    <t xml:space="preserve">lên kế hoạch</t>
  </si>
  <si>
    <t xml:space="preserve">to plan / make a plan</t>
  </si>
  <si>
    <r>
      <rPr>
        <sz val="9"/>
        <color rgb="FF000000"/>
        <rFont val="Noto Sans CJK SC"/>
        <family val="2"/>
      </rPr>
      <t xml:space="preserve">計劃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制定計劃</t>
    </r>
  </si>
  <si>
    <t xml:space="preserve">gai-waak/zai-ding-gai-waak</t>
  </si>
  <si>
    <t xml:space="preserve">thực thi</t>
  </si>
  <si>
    <t xml:space="preserve">to enforce / execute</t>
  </si>
  <si>
    <t xml:space="preserve">執行</t>
  </si>
  <si>
    <t xml:space="preserve">zap-haang</t>
  </si>
  <si>
    <t xml:space="preserve">Sino-Viet: thực thi</t>
  </si>
  <si>
    <t xml:space="preserve">kiểm soát</t>
  </si>
  <si>
    <t xml:space="preserve">to control / monitor</t>
  </si>
  <si>
    <r>
      <rPr>
        <sz val="9"/>
        <color rgb="FF000000"/>
        <rFont val="Noto Sans CJK SC"/>
        <family val="2"/>
      </rPr>
      <t xml:space="preserve">控制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監控</t>
    </r>
  </si>
  <si>
    <t xml:space="preserve">hung-zai/gaam-hung</t>
  </si>
  <si>
    <t xml:space="preserve">Sino-Viet: kiểm soát</t>
  </si>
  <si>
    <t xml:space="preserve">cập nhật thông tin</t>
  </si>
  <si>
    <t xml:space="preserve">to update information</t>
  </si>
  <si>
    <t xml:space="preserve">更新信息</t>
  </si>
  <si>
    <t xml:space="preserve">gang-san-seon-sik</t>
  </si>
  <si>
    <t xml:space="preserve">rút ra bài học</t>
  </si>
  <si>
    <t xml:space="preserve">to draw a lesson</t>
  </si>
  <si>
    <t xml:space="preserve">吸取教訓</t>
  </si>
  <si>
    <t xml:space="preserve">kap-ceoi-gaau-fan</t>
  </si>
  <si>
    <t xml:space="preserve">tính cách</t>
  </si>
  <si>
    <t xml:space="preserve">personality / character</t>
  </si>
  <si>
    <t xml:space="preserve">性格</t>
  </si>
  <si>
    <t xml:space="preserve">sing-gaak</t>
  </si>
  <si>
    <t xml:space="preserve">Sino-Viet: tính cách</t>
  </si>
  <si>
    <t xml:space="preserve">ngoại hình</t>
  </si>
  <si>
    <t xml:space="preserve">appearance / looks</t>
  </si>
  <si>
    <t xml:space="preserve">外貌</t>
  </si>
  <si>
    <t xml:space="preserve">ngoi-maau</t>
  </si>
  <si>
    <t xml:space="preserve">Sino-Viet: ngoại hình</t>
  </si>
  <si>
    <t xml:space="preserve">ấn tượng</t>
  </si>
  <si>
    <t xml:space="preserve">impression</t>
  </si>
  <si>
    <t xml:space="preserve">印象</t>
  </si>
  <si>
    <t xml:space="preserve">jan-zoeng</t>
  </si>
  <si>
    <t xml:space="preserve">Sino-Viet: ấn tượng</t>
  </si>
  <si>
    <t xml:space="preserve">đáng tin cậy</t>
  </si>
  <si>
    <t xml:space="preserve">trustworthy / reliable</t>
  </si>
  <si>
    <t xml:space="preserve">可信賴</t>
  </si>
  <si>
    <t xml:space="preserve">ho-seon-laai</t>
  </si>
  <si>
    <t xml:space="preserve">thẳng thắn</t>
  </si>
  <si>
    <t xml:space="preserve">straightforward / frank</t>
  </si>
  <si>
    <r>
      <rPr>
        <sz val="9"/>
        <color rgb="FF000000"/>
        <rFont val="Noto Sans CJK SC"/>
        <family val="2"/>
      </rPr>
      <t xml:space="preserve">直率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坦白</t>
    </r>
  </si>
  <si>
    <t xml:space="preserve">zik-seot/taan-baak</t>
  </si>
  <si>
    <t xml:space="preserve">vui tính</t>
  </si>
  <si>
    <t xml:space="preserve">cheerful / fun-natured</t>
  </si>
  <si>
    <r>
      <rPr>
        <sz val="9"/>
        <color rgb="FF000000"/>
        <rFont val="Noto Sans CJK SC"/>
        <family val="2"/>
      </rPr>
      <t xml:space="preserve">開朗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活潑</t>
    </r>
  </si>
  <si>
    <t xml:space="preserve">hoi-long/wut-but</t>
  </si>
  <si>
    <t xml:space="preserve">trầm tính</t>
  </si>
  <si>
    <t xml:space="preserve">quiet / reserved</t>
  </si>
  <si>
    <r>
      <rPr>
        <sz val="9"/>
        <color rgb="FF000000"/>
        <rFont val="Noto Sans CJK SC"/>
        <family val="2"/>
      </rPr>
      <t xml:space="preserve">內向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沉默</t>
    </r>
  </si>
  <si>
    <t xml:space="preserve">noi-hoeng/cam-mak</t>
  </si>
  <si>
    <t xml:space="preserve">hướng ngoại</t>
  </si>
  <si>
    <t xml:space="preserve">extroverted</t>
  </si>
  <si>
    <t xml:space="preserve">外向</t>
  </si>
  <si>
    <t xml:space="preserve">ngoi-hoeng</t>
  </si>
  <si>
    <t xml:space="preserve">Sino-Viet: hướng ngoại</t>
  </si>
  <si>
    <t xml:space="preserve">hướng nội</t>
  </si>
  <si>
    <t xml:space="preserve">introverted</t>
  </si>
  <si>
    <t xml:space="preserve">內向</t>
  </si>
  <si>
    <t xml:space="preserve">noi-hoeng</t>
  </si>
  <si>
    <t xml:space="preserve">Sino-Viet: hướng nội</t>
  </si>
  <si>
    <t xml:space="preserve">nhiệt tình</t>
  </si>
  <si>
    <t xml:space="preserve">enthusiastic / passionate</t>
  </si>
  <si>
    <t xml:space="preserve">熱情</t>
  </si>
  <si>
    <t xml:space="preserve">jit-cing</t>
  </si>
  <si>
    <t xml:space="preserve">Sino-Viet: nhiệt tình</t>
  </si>
  <si>
    <t xml:space="preserve">thờ ơ</t>
  </si>
  <si>
    <t xml:space="preserve">indifferent / apathetic</t>
  </si>
  <si>
    <t xml:space="preserve">漠不關心</t>
  </si>
  <si>
    <t xml:space="preserve">mok-bat-gwaan-sam</t>
  </si>
  <si>
    <t xml:space="preserve">tò mò</t>
  </si>
  <si>
    <t xml:space="preserve">curious</t>
  </si>
  <si>
    <t xml:space="preserve">好奇</t>
  </si>
  <si>
    <t xml:space="preserve">hou-kei</t>
  </si>
  <si>
    <t xml:space="preserve">Sino-Viet: hiếu kỳ</t>
  </si>
  <si>
    <t xml:space="preserve">sáng tạo</t>
  </si>
  <si>
    <t xml:space="preserve">creative</t>
  </si>
  <si>
    <t xml:space="preserve">有創意</t>
  </si>
  <si>
    <t xml:space="preserve">jau-cong-ji</t>
  </si>
  <si>
    <t xml:space="preserve">Sino-Viet: sáng tạo</t>
  </si>
  <si>
    <t xml:space="preserve">bảo thủ</t>
  </si>
  <si>
    <t xml:space="preserve">conservative</t>
  </si>
  <si>
    <t xml:space="preserve">保守</t>
  </si>
  <si>
    <t xml:space="preserve">bou-sau</t>
  </si>
  <si>
    <t xml:space="preserve">Sino-Viet: bảo thủ</t>
  </si>
  <si>
    <t xml:space="preserve">linh hoạt</t>
  </si>
  <si>
    <t xml:space="preserve">flexible / adaptable</t>
  </si>
  <si>
    <t xml:space="preserve">靈活</t>
  </si>
  <si>
    <t xml:space="preserve">ling-wut</t>
  </si>
  <si>
    <t xml:space="preserve">Sino-Viet: linh hoạt</t>
  </si>
  <si>
    <t xml:space="preserve">cứng nhắc</t>
  </si>
  <si>
    <t xml:space="preserve">rigid / inflexible</t>
  </si>
  <si>
    <r>
      <rPr>
        <sz val="9"/>
        <color rgb="FF000000"/>
        <rFont val="Noto Sans CJK SC"/>
        <family val="2"/>
      </rPr>
      <t xml:space="preserve">死板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固執</t>
    </r>
  </si>
  <si>
    <t xml:space="preserve">sei-baan/gu-zap</t>
  </si>
  <si>
    <t xml:space="preserve">chín chắn</t>
  </si>
  <si>
    <t xml:space="preserve">mature / sensible</t>
  </si>
  <si>
    <t xml:space="preserve">成熟</t>
  </si>
  <si>
    <t xml:space="preserve">sing-suk</t>
  </si>
  <si>
    <t xml:space="preserve">ngây thơ</t>
  </si>
  <si>
    <t xml:space="preserve">naive / innocent</t>
  </si>
  <si>
    <r>
      <rPr>
        <sz val="9"/>
        <color rgb="FF000000"/>
        <rFont val="Noto Sans CJK SC"/>
        <family val="2"/>
      </rPr>
      <t xml:space="preserve">天真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幼稚</t>
    </r>
  </si>
  <si>
    <t xml:space="preserve">tin-zan/jau-zi</t>
  </si>
  <si>
    <t xml:space="preserve">ngang bướng</t>
  </si>
  <si>
    <t xml:space="preserve">stubborn</t>
  </si>
  <si>
    <t xml:space="preserve">固執</t>
  </si>
  <si>
    <t xml:space="preserve">gu-zap</t>
  </si>
  <si>
    <t xml:space="preserve">mềm mỏng</t>
  </si>
  <si>
    <t xml:space="preserve">gentle / soft-spoken</t>
  </si>
  <si>
    <t xml:space="preserve">溫柔</t>
  </si>
  <si>
    <t xml:space="preserve">wan-jau</t>
  </si>
  <si>
    <t xml:space="preserve">cộc lốc</t>
  </si>
  <si>
    <t xml:space="preserve">blunt / curt</t>
  </si>
  <si>
    <r>
      <rPr>
        <sz val="9"/>
        <color rgb="FF000000"/>
        <rFont val="Noto Sans CJK SC"/>
        <family val="2"/>
      </rPr>
      <t xml:space="preserve">無禮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粗魯</t>
    </r>
  </si>
  <si>
    <t xml:space="preserve">mou-lai/cou-lou</t>
  </si>
  <si>
    <t xml:space="preserve">hay phàn nàn</t>
  </si>
  <si>
    <t xml:space="preserve">complaining / whiny</t>
  </si>
  <si>
    <t xml:space="preserve">愛抱怨</t>
  </si>
  <si>
    <t xml:space="preserve">oi-pou-jyun</t>
  </si>
  <si>
    <t xml:space="preserve">vô tư</t>
  </si>
  <si>
    <t xml:space="preserve">carefree / thoughtless</t>
  </si>
  <si>
    <r>
      <rPr>
        <sz val="9"/>
        <color rgb="FF000000"/>
        <rFont val="Noto Sans CJK SC"/>
        <family val="2"/>
      </rPr>
      <t xml:space="preserve">無憂無慮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大意</t>
    </r>
  </si>
  <si>
    <t xml:space="preserve">mou-jau-mou-leoi/daai-ji</t>
  </si>
  <si>
    <t xml:space="preserve">chu toàn</t>
  </si>
  <si>
    <t xml:space="preserve">thorough / meticulous</t>
  </si>
  <si>
    <r>
      <rPr>
        <sz val="9"/>
        <color rgb="FF000000"/>
        <rFont val="Noto Sans CJK SC"/>
        <family val="2"/>
      </rPr>
      <t xml:space="preserve">周全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面面俱到</t>
    </r>
  </si>
  <si>
    <t xml:space="preserve">zau-cyun/min-min-keoi-dou</t>
  </si>
  <si>
    <t xml:space="preserve">dẫn tới</t>
  </si>
  <si>
    <t xml:space="preserve">leads to / results in</t>
  </si>
  <si>
    <t xml:space="preserve">gây nên</t>
  </si>
  <si>
    <t xml:space="preserve">causes / gives rise to</t>
  </si>
  <si>
    <t xml:space="preserve">bắt nguồn từ</t>
  </si>
  <si>
    <t xml:space="preserve">originates from / stems from</t>
  </si>
  <si>
    <r>
      <rPr>
        <sz val="9"/>
        <color rgb="FF000000"/>
        <rFont val="Noto Sans CJK SC"/>
        <family val="2"/>
      </rPr>
      <t xml:space="preserve">源自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起源於</t>
    </r>
  </si>
  <si>
    <t xml:space="preserve">jyun-zi/hei-jyun-jyu</t>
  </si>
  <si>
    <t xml:space="preserve">là hệ quả của</t>
  </si>
  <si>
    <t xml:space="preserve">is a consequence of</t>
  </si>
  <si>
    <r>
      <rPr>
        <sz val="9"/>
        <color rgb="FF000000"/>
        <rFont val="Noto Sans CJK SC"/>
        <family val="2"/>
      </rPr>
      <t xml:space="preserve">是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的後果</t>
    </r>
  </si>
  <si>
    <t xml:space="preserve">hai...dik-hau-gwo</t>
  </si>
  <si>
    <t xml:space="preserve">có liên quan đến</t>
  </si>
  <si>
    <t xml:space="preserve">is related to / connected to</t>
  </si>
  <si>
    <r>
      <rPr>
        <sz val="9"/>
        <color rgb="FF000000"/>
        <rFont val="Noto Sans CJK SC"/>
        <family val="2"/>
      </rPr>
      <t xml:space="preserve">與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有關</t>
    </r>
  </si>
  <si>
    <t xml:space="preserve">jyu...jau-gwaan</t>
  </si>
  <si>
    <t xml:space="preserve">ảnh hưởng tiêu cực</t>
  </si>
  <si>
    <t xml:space="preserve">negative impact</t>
  </si>
  <si>
    <t xml:space="preserve">負面影響</t>
  </si>
  <si>
    <t xml:space="preserve">fu-min-jing-hoeng</t>
  </si>
  <si>
    <t xml:space="preserve">ảnh hưởng tích cực</t>
  </si>
  <si>
    <t xml:space="preserve">positive impact</t>
  </si>
  <si>
    <t xml:space="preserve">正面影響</t>
  </si>
  <si>
    <t xml:space="preserve">zing-min-jing-hoeng</t>
  </si>
  <si>
    <t xml:space="preserve">góp phần vào</t>
  </si>
  <si>
    <t xml:space="preserve">contributes to</t>
  </si>
  <si>
    <r>
      <rPr>
        <sz val="9"/>
        <color rgb="FF000000"/>
        <rFont val="Noto Sans CJK SC"/>
        <family val="2"/>
      </rPr>
      <t xml:space="preserve">有助於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貢獻於</t>
    </r>
  </si>
  <si>
    <t xml:space="preserve">jau-zo-jyu/gung-hin-jyu</t>
  </si>
  <si>
    <t xml:space="preserve">cản trở</t>
  </si>
  <si>
    <t xml:space="preserve">hinders / obstructs</t>
  </si>
  <si>
    <t xml:space="preserve">阻礙</t>
  </si>
  <si>
    <t xml:space="preserve">zou-ngoi</t>
  </si>
  <si>
    <t xml:space="preserve">Sino-Viet: cản trở</t>
  </si>
  <si>
    <t xml:space="preserve">thúc đẩy</t>
  </si>
  <si>
    <t xml:space="preserve">drives / promotes / pushes forward</t>
  </si>
  <si>
    <r>
      <rPr>
        <sz val="9"/>
        <color rgb="FF000000"/>
        <rFont val="Noto Sans CJK SC"/>
        <family val="2"/>
      </rPr>
      <t xml:space="preserve">推動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促進</t>
    </r>
  </si>
  <si>
    <t xml:space="preserve">teoi-dung/cuk-zeon</t>
  </si>
  <si>
    <t xml:space="preserve">kìm hãm</t>
  </si>
  <si>
    <t xml:space="preserve">suppresses / holds back</t>
  </si>
  <si>
    <r>
      <rPr>
        <sz val="9"/>
        <color rgb="FF000000"/>
        <rFont val="Noto Sans CJK SC"/>
        <family val="2"/>
      </rPr>
      <t xml:space="preserve">壓制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阻撓</t>
    </r>
  </si>
  <si>
    <t xml:space="preserve">aat-zai/zou-naau</t>
  </si>
  <si>
    <t xml:space="preserve">kéo theo</t>
  </si>
  <si>
    <t xml:space="preserve">brings along / entails</t>
  </si>
  <si>
    <r>
      <rPr>
        <sz val="9"/>
        <color rgb="FF000000"/>
        <rFont val="Noto Sans CJK SC"/>
        <family val="2"/>
      </rPr>
      <t xml:space="preserve">帶來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隨之而來</t>
    </r>
  </si>
  <si>
    <t xml:space="preserve">daai-loi/ceoi-zi-ji-loi</t>
  </si>
  <si>
    <t xml:space="preserve">depends on</t>
  </si>
  <si>
    <r>
      <rPr>
        <sz val="9"/>
        <color rgb="FF000000"/>
        <rFont val="Noto Sans CJK SC"/>
        <family val="2"/>
      </rPr>
      <t xml:space="preserve">取決於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依賴</t>
    </r>
  </si>
  <si>
    <t xml:space="preserve">ceoi-kyut-jyu/ji-laai</t>
  </si>
  <si>
    <t xml:space="preserve">không phụ thuộc vào</t>
  </si>
  <si>
    <t xml:space="preserve">independent of / regardless of</t>
  </si>
  <si>
    <r>
      <rPr>
        <sz val="9"/>
        <color rgb="FF000000"/>
        <rFont val="Noto Sans CJK SC"/>
        <family val="2"/>
      </rPr>
      <t xml:space="preserve">不依賴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無關</t>
    </r>
  </si>
  <si>
    <t xml:space="preserve">bat-ji-laai/mou-gwaan</t>
  </si>
  <si>
    <t xml:space="preserve">giống nhau</t>
  </si>
  <si>
    <t xml:space="preserve">similar / the same</t>
  </si>
  <si>
    <r>
      <rPr>
        <sz val="9"/>
        <color rgb="FF000000"/>
        <rFont val="Noto Sans CJK SC"/>
        <family val="2"/>
      </rPr>
      <t xml:space="preserve">相同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相似</t>
    </r>
  </si>
  <si>
    <t xml:space="preserve">soeng-tung/soeng-ci</t>
  </si>
  <si>
    <t xml:space="preserve">khác nhau</t>
  </si>
  <si>
    <t xml:space="preserve">different</t>
  </si>
  <si>
    <r>
      <rPr>
        <sz val="9"/>
        <color rgb="FF000000"/>
        <rFont val="Noto Sans CJK SC"/>
        <family val="2"/>
      </rPr>
      <t xml:space="preserve">不同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各異</t>
    </r>
  </si>
  <si>
    <t xml:space="preserve">bat-tung/gok-ji</t>
  </si>
  <si>
    <t xml:space="preserve">tương tự</t>
  </si>
  <si>
    <t xml:space="preserve">similar / analogous</t>
  </si>
  <si>
    <r>
      <rPr>
        <sz val="9"/>
        <color rgb="FF000000"/>
        <rFont val="Noto Sans CJK SC"/>
        <family val="2"/>
      </rPr>
      <t xml:space="preserve">類似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相似</t>
    </r>
  </si>
  <si>
    <t xml:space="preserve">leoi-ci/soeng-ci</t>
  </si>
  <si>
    <t xml:space="preserve">Sino-Viet: tương tự</t>
  </si>
  <si>
    <t xml:space="preserve">trái ngược</t>
  </si>
  <si>
    <t xml:space="preserve">opposite / contrary</t>
  </si>
  <si>
    <t xml:space="preserve">相反</t>
  </si>
  <si>
    <t xml:space="preserve">soeng-faan</t>
  </si>
  <si>
    <t xml:space="preserve">hơn</t>
  </si>
  <si>
    <t xml:space="preserve">more than / -er than</t>
  </si>
  <si>
    <r>
      <rPr>
        <sz val="9"/>
        <color rgb="FF000000"/>
        <rFont val="Noto Sans CJK SC"/>
        <family val="2"/>
      </rPr>
      <t xml:space="preserve">比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更</t>
    </r>
  </si>
  <si>
    <t xml:space="preserve">bei...gang</t>
  </si>
  <si>
    <t xml:space="preserve">comparative</t>
  </si>
  <si>
    <t xml:space="preserve">kém hơn</t>
  </si>
  <si>
    <t xml:space="preserve">less than / inferior to</t>
  </si>
  <si>
    <r>
      <rPr>
        <sz val="9"/>
        <color rgb="FF000000"/>
        <rFont val="Noto Sans CJK SC"/>
        <family val="2"/>
      </rPr>
      <t xml:space="preserve">比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不如</t>
    </r>
  </si>
  <si>
    <t xml:space="preserve">bei...caa/bat-jyu</t>
  </si>
  <si>
    <t xml:space="preserve">bằng nhau</t>
  </si>
  <si>
    <t xml:space="preserve">equal / the same as</t>
  </si>
  <si>
    <r>
      <rPr>
        <sz val="9"/>
        <color rgb="FF000000"/>
        <rFont val="Noto Sans CJK SC"/>
        <family val="2"/>
      </rPr>
      <t xml:space="preserve">相等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一樣</t>
    </r>
  </si>
  <si>
    <t xml:space="preserve">soeng-dang/jat-joeng</t>
  </si>
  <si>
    <t xml:space="preserve">vượt trội hơn</t>
  </si>
  <si>
    <t xml:space="preserve">superior to / better than</t>
  </si>
  <si>
    <r>
      <rPr>
        <sz val="9"/>
        <color rgb="FF000000"/>
        <rFont val="Noto Sans CJK SC"/>
        <family val="2"/>
      </rPr>
      <t xml:space="preserve">優於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勝過</t>
    </r>
  </si>
  <si>
    <t xml:space="preserve">jau-jyu/sing-gwo</t>
  </si>
  <si>
    <t xml:space="preserve">nhìn bề ngoài</t>
  </si>
  <si>
    <t xml:space="preserve">on the surface / superficially</t>
  </si>
  <si>
    <t xml:space="preserve">表面上</t>
  </si>
  <si>
    <t xml:space="preserve">biu-min-soeng</t>
  </si>
  <si>
    <t xml:space="preserve">thực chất</t>
  </si>
  <si>
    <t xml:space="preserve">in essence / fundamentally</t>
  </si>
  <si>
    <r>
      <rPr>
        <sz val="9"/>
        <color rgb="FF000000"/>
        <rFont val="Noto Sans CJK SC"/>
        <family val="2"/>
      </rPr>
      <t xml:space="preserve">本質上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實質上</t>
    </r>
  </si>
  <si>
    <t xml:space="preserve">bun-zat-soeng/sat-zat-soeng</t>
  </si>
  <si>
    <t xml:space="preserve">Sino-Viet: thực chất</t>
  </si>
  <si>
    <t xml:space="preserve">điểm chung</t>
  </si>
  <si>
    <t xml:space="preserve">common ground / shared feature</t>
  </si>
  <si>
    <t xml:space="preserve">共同點</t>
  </si>
  <si>
    <t xml:space="preserve">gung-tung-dim</t>
  </si>
  <si>
    <t xml:space="preserve">điểm khác biệt</t>
  </si>
  <si>
    <t xml:space="preserve">difference / distinguishing point</t>
  </si>
  <si>
    <r>
      <rPr>
        <sz val="9"/>
        <color rgb="FF000000"/>
        <rFont val="Noto Sans CJK SC"/>
        <family val="2"/>
      </rPr>
      <t xml:space="preserve">不同點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區別</t>
    </r>
  </si>
  <si>
    <t xml:space="preserve">bat-tung-dim/keoi-bit</t>
  </si>
  <si>
    <t xml:space="preserve">so với</t>
  </si>
  <si>
    <t xml:space="preserve">compared to / versus</t>
  </si>
  <si>
    <r>
      <rPr>
        <sz val="9"/>
        <color rgb="FF000000"/>
        <rFont val="Noto Sans CJK SC"/>
        <family val="2"/>
      </rPr>
      <t xml:space="preserve">與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相比</t>
    </r>
  </si>
  <si>
    <t xml:space="preserve">jyu...soeng-bei</t>
  </si>
  <si>
    <t xml:space="preserve">trong khi đó</t>
  </si>
  <si>
    <t xml:space="preserve">meanwhile / whereas</t>
  </si>
  <si>
    <r>
      <rPr>
        <sz val="9"/>
        <color rgb="FF000000"/>
        <rFont val="Noto Sans CJK SC"/>
        <family val="2"/>
      </rPr>
      <t xml:space="preserve">與此同時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而</t>
    </r>
  </si>
  <si>
    <t xml:space="preserve">jyu-ci-tung-si/ji</t>
  </si>
  <si>
    <t xml:space="preserve">nghiên cứu chỉ ra rằng</t>
  </si>
  <si>
    <t xml:space="preserve">research shows that</t>
  </si>
  <si>
    <t xml:space="preserve">研究表明</t>
  </si>
  <si>
    <t xml:space="preserve">jin-gau-biu-ming</t>
  </si>
  <si>
    <t xml:space="preserve">theo số liệu thống kê</t>
  </si>
  <si>
    <t xml:space="preserve">according to statistics</t>
  </si>
  <si>
    <t xml:space="preserve">根據統計數據</t>
  </si>
  <si>
    <t xml:space="preserve">gan-geoi-tung-gai-sou-geoi</t>
  </si>
  <si>
    <t xml:space="preserve">có thể lập luận rằng</t>
  </si>
  <si>
    <t xml:space="preserve">it can be argued that</t>
  </si>
  <si>
    <t xml:space="preserve">可以論證</t>
  </si>
  <si>
    <t xml:space="preserve">ho-ji-leon-zing</t>
  </si>
  <si>
    <t xml:space="preserve">đáng chú ý là</t>
  </si>
  <si>
    <t xml:space="preserve">it is noteworthy that</t>
  </si>
  <si>
    <t xml:space="preserve">值得注意的是</t>
  </si>
  <si>
    <t xml:space="preserve">zik-dak-zyu-ji-dik-hai</t>
  </si>
  <si>
    <t xml:space="preserve">nhìn từ góc độ</t>
  </si>
  <si>
    <t xml:space="preserve">viewed from the perspective of</t>
  </si>
  <si>
    <r>
      <rPr>
        <sz val="9"/>
        <color rgb="FF000000"/>
        <rFont val="Noto Sans CJK SC"/>
        <family val="2"/>
      </rPr>
      <t xml:space="preserve">從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角度來看</t>
    </r>
  </si>
  <si>
    <t xml:space="preserve">cung...gok-dou-loi-hon</t>
  </si>
  <si>
    <t xml:space="preserve">trong bối cảnh</t>
  </si>
  <si>
    <t xml:space="preserve">in the context of</t>
  </si>
  <si>
    <r>
      <rPr>
        <sz val="9"/>
        <color rgb="FF000000"/>
        <rFont val="Noto Sans CJK SC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背景下</t>
    </r>
  </si>
  <si>
    <t xml:space="preserve">zoi...bui-ging-haa</t>
  </si>
  <si>
    <t xml:space="preserve">Sino-Viet: bối cảnh</t>
  </si>
  <si>
    <t xml:space="preserve">xét về lâu dài</t>
  </si>
  <si>
    <t xml:space="preserve">in the long run</t>
  </si>
  <si>
    <t xml:space="preserve">從長遠來看</t>
  </si>
  <si>
    <t xml:space="preserve">cung-coeng-jyun-loi-hon</t>
  </si>
  <si>
    <t xml:space="preserve">về mặt lý thuyết</t>
  </si>
  <si>
    <t xml:space="preserve">theoretically</t>
  </si>
  <si>
    <t xml:space="preserve">理論上</t>
  </si>
  <si>
    <t xml:space="preserve">lei-leon-soeng</t>
  </si>
  <si>
    <t xml:space="preserve">về mặt thực tiễn</t>
  </si>
  <si>
    <t xml:space="preserve">in practice / practically</t>
  </si>
  <si>
    <r>
      <rPr>
        <sz val="9"/>
        <color rgb="FF000000"/>
        <rFont val="Noto Sans CJK SC"/>
        <family val="2"/>
      </rPr>
      <t xml:space="preserve">實際上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實踐上</t>
    </r>
  </si>
  <si>
    <t xml:space="preserve">tuy chưa có kết luận</t>
  </si>
  <si>
    <t xml:space="preserve">while no conclusion has been reached</t>
  </si>
  <si>
    <t xml:space="preserve">雖然尚無定論</t>
  </si>
  <si>
    <t xml:space="preserve">seoi-jin-soeng-mou-ding-leon</t>
  </si>
  <si>
    <t xml:space="preserve">cần có thêm nghiên cứu</t>
  </si>
  <si>
    <t xml:space="preserve">further research is needed</t>
  </si>
  <si>
    <t xml:space="preserve">需要進一步研究</t>
  </si>
  <si>
    <t xml:space="preserve">seoi-jiu-zeon-jat-bou-jin-gau</t>
  </si>
  <si>
    <t xml:space="preserve">hàm ý</t>
  </si>
  <si>
    <t xml:space="preserve">implies / implies that</t>
  </si>
  <si>
    <r>
      <rPr>
        <sz val="9"/>
        <color rgb="FF000000"/>
        <rFont val="Noto Sans CJK SC"/>
        <family val="2"/>
      </rPr>
      <t xml:space="preserve">暗示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含義</t>
    </r>
  </si>
  <si>
    <t xml:space="preserve">am-si/ham-ji</t>
  </si>
  <si>
    <t xml:space="preserve">Sino-Viet: hàm ý</t>
  </si>
  <si>
    <t xml:space="preserve">lập luận phản bác</t>
  </si>
  <si>
    <t xml:space="preserve">counter-argument</t>
  </si>
  <si>
    <t xml:space="preserve">反駁論點</t>
  </si>
  <si>
    <t xml:space="preserve">faan-bok-leon-dim</t>
  </si>
  <si>
    <t xml:space="preserve">điều này đặt ra câu hỏi</t>
  </si>
  <si>
    <t xml:space="preserve">this raises the question</t>
  </si>
  <si>
    <t xml:space="preserve">這引出了一個問題</t>
  </si>
  <si>
    <t xml:space="preserve">ni-jan-ceot-liu-jat-go-man-tai</t>
  </si>
  <si>
    <t xml:space="preserve">tóm lại những điểm chính</t>
  </si>
  <si>
    <t xml:space="preserve">to summarize the main points</t>
  </si>
  <si>
    <t xml:space="preserve">總結要點</t>
  </si>
  <si>
    <t xml:space="preserve">zung-git-jiu-dim</t>
  </si>
  <si>
    <t xml:space="preserve">tăng lên</t>
  </si>
  <si>
    <t xml:space="preserve">to increase / rise</t>
  </si>
  <si>
    <r>
      <rPr>
        <sz val="9"/>
        <color rgb="FF000000"/>
        <rFont val="Noto Sans CJK SC"/>
        <family val="2"/>
      </rPr>
      <t xml:space="preserve">增加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上升</t>
    </r>
  </si>
  <si>
    <t xml:space="preserve">zang-gaa/soeng-sing</t>
  </si>
  <si>
    <t xml:space="preserve">giảm xuống</t>
  </si>
  <si>
    <t xml:space="preserve">to decrease / fall</t>
  </si>
  <si>
    <r>
      <rPr>
        <sz val="9"/>
        <color rgb="FF000000"/>
        <rFont val="Noto Sans CJK SC"/>
        <family val="2"/>
      </rPr>
      <t xml:space="preserve">減少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下降</t>
    </r>
  </si>
  <si>
    <t xml:space="preserve">gaam-siu/haa-gong</t>
  </si>
  <si>
    <t xml:space="preserve">ổn định</t>
  </si>
  <si>
    <t xml:space="preserve">stable / steady</t>
  </si>
  <si>
    <t xml:space="preserve">穩定</t>
  </si>
  <si>
    <t xml:space="preserve">wan-ding</t>
  </si>
  <si>
    <t xml:space="preserve">Sino-Viet: ổn định</t>
  </si>
  <si>
    <t xml:space="preserve">biến động</t>
  </si>
  <si>
    <t xml:space="preserve">fluctuating / volatile</t>
  </si>
  <si>
    <r>
      <rPr>
        <sz val="9"/>
        <color rgb="FF000000"/>
        <rFont val="Noto Sans CJK SC"/>
        <family val="2"/>
      </rPr>
      <t xml:space="preserve">波動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變化</t>
    </r>
  </si>
  <si>
    <t xml:space="preserve">bo-dung/bin-faa</t>
  </si>
  <si>
    <t xml:space="preserve">Sino-Viet: biến động</t>
  </si>
  <si>
    <t xml:space="preserve">đột ngột tăng</t>
  </si>
  <si>
    <t xml:space="preserve">sudden spike / surge</t>
  </si>
  <si>
    <t xml:space="preserve">突然暴漲</t>
  </si>
  <si>
    <t xml:space="preserve">dat-jin-bou-zoeng</t>
  </si>
  <si>
    <t xml:space="preserve">giảm dần</t>
  </si>
  <si>
    <t xml:space="preserve">gradually decrease</t>
  </si>
  <si>
    <t xml:space="preserve">逐漸減少</t>
  </si>
  <si>
    <t xml:space="preserve">zuk-zim-gaam-siu</t>
  </si>
  <si>
    <t xml:space="preserve">đạt đỉnh</t>
  </si>
  <si>
    <t xml:space="preserve">to peak / reach a peak</t>
  </si>
  <si>
    <t xml:space="preserve">達到頂峰</t>
  </si>
  <si>
    <t xml:space="preserve">daat-dou-ding-fung</t>
  </si>
  <si>
    <t xml:space="preserve">chạm đáy</t>
  </si>
  <si>
    <t xml:space="preserve">to hit bottom / reach low point</t>
  </si>
  <si>
    <t xml:space="preserve">觸底</t>
  </si>
  <si>
    <t xml:space="preserve">zuk-dai</t>
  </si>
  <si>
    <t xml:space="preserve">phục hồi</t>
  </si>
  <si>
    <t xml:space="preserve">to recover / bounce back</t>
  </si>
  <si>
    <t xml:space="preserve">恢復</t>
  </si>
  <si>
    <t xml:space="preserve">fui-fuk</t>
  </si>
  <si>
    <t xml:space="preserve">Sino-Viet: phục hồi</t>
  </si>
  <si>
    <t xml:space="preserve">sụt giảm mạnh</t>
  </si>
  <si>
    <t xml:space="preserve">sharp decline / steep drop</t>
  </si>
  <si>
    <t xml:space="preserve">急劇下降</t>
  </si>
  <si>
    <t xml:space="preserve">gap-kek-haa-gong</t>
  </si>
  <si>
    <t xml:space="preserve">tăng trưởng bền vững</t>
  </si>
  <si>
    <t xml:space="preserve">sustainable growth</t>
  </si>
  <si>
    <t xml:space="preserve">可持續增長</t>
  </si>
  <si>
    <t xml:space="preserve">ho-ci-zuk-zang-zoeng</t>
  </si>
  <si>
    <t xml:space="preserve">chuyển đổi</t>
  </si>
  <si>
    <t xml:space="preserve">transition / transformation</t>
  </si>
  <si>
    <r>
      <rPr>
        <sz val="9"/>
        <color rgb="FF000000"/>
        <rFont val="Noto Sans CJK SC"/>
        <family val="2"/>
      </rPr>
      <t xml:space="preserve">轉型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轉換</t>
    </r>
  </si>
  <si>
    <t xml:space="preserve">zyun-jing/zyun-wun</t>
  </si>
  <si>
    <t xml:space="preserve">Sino-Viet: chuyển đổi</t>
  </si>
  <si>
    <t xml:space="preserve">xu hướng tăng</t>
  </si>
  <si>
    <t xml:space="preserve">upward trend</t>
  </si>
  <si>
    <t xml:space="preserve">上升趨勢</t>
  </si>
  <si>
    <t xml:space="preserve">soeng-sing-ceoi-sai</t>
  </si>
  <si>
    <t xml:space="preserve">xu hướng giảm</t>
  </si>
  <si>
    <t xml:space="preserve">downward trend</t>
  </si>
  <si>
    <t xml:space="preserve">下降趨勢</t>
  </si>
  <si>
    <t xml:space="preserve">haa-gong-ceoi-sai</t>
  </si>
  <si>
    <t xml:space="preserve">hoàn toàn không</t>
  </si>
  <si>
    <t xml:space="preserve">absolutely not / not at all</t>
  </si>
  <si>
    <r>
      <rPr>
        <sz val="9"/>
        <color rgb="FF000000"/>
        <rFont val="Noto Sans CJK SC"/>
        <family val="2"/>
      </rPr>
      <t xml:space="preserve">完全不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絕對不</t>
    </r>
  </si>
  <si>
    <t xml:space="preserve">jyun-cyun-bat/zyut-deoi-bat</t>
  </si>
  <si>
    <t xml:space="preserve">chưa hẳn</t>
  </si>
  <si>
    <t xml:space="preserve">not necessarily</t>
  </si>
  <si>
    <r>
      <rPr>
        <sz val="9"/>
        <color rgb="FF000000"/>
        <rFont val="Noto Sans CJK SC"/>
        <family val="2"/>
      </rPr>
      <t xml:space="preserve">未必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不一定</t>
    </r>
  </si>
  <si>
    <t xml:space="preserve">mei-bit/bat-jat-ding</t>
  </si>
  <si>
    <t xml:space="preserve">không nhất thiết</t>
  </si>
  <si>
    <t xml:space="preserve">not necessarily / doesn't have to</t>
  </si>
  <si>
    <r>
      <rPr>
        <sz val="9"/>
        <color rgb="FF000000"/>
        <rFont val="Noto Sans CJK SC"/>
        <family val="2"/>
      </rPr>
      <t xml:space="preserve">不一定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未必</t>
    </r>
  </si>
  <si>
    <t xml:space="preserve">bat-jat-ding/mei-bit</t>
  </si>
  <si>
    <t xml:space="preserve">không hề</t>
  </si>
  <si>
    <t xml:space="preserve">not at all / never (emphatic)</t>
  </si>
  <si>
    <r>
      <rPr>
        <sz val="9"/>
        <color rgb="FF000000"/>
        <rFont val="Noto Sans CJK SC"/>
        <family val="2"/>
      </rPr>
      <t xml:space="preserve">從未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絲毫不</t>
    </r>
  </si>
  <si>
    <t xml:space="preserve">cung-mei/si-hou-bat</t>
  </si>
  <si>
    <t xml:space="preserve">đâu có</t>
  </si>
  <si>
    <t xml:space="preserve">not at all (Southern casual)</t>
  </si>
  <si>
    <r>
      <rPr>
        <sz val="9"/>
        <color rgb="FF000000"/>
        <rFont val="Noto Sans CJK SC"/>
        <family val="2"/>
      </rPr>
      <t xml:space="preserve">哪有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才沒有</t>
    </r>
  </si>
  <si>
    <t xml:space="preserve">naa-jau/coi-mut-jau</t>
  </si>
  <si>
    <t xml:space="preserve">thậm chí không</t>
  </si>
  <si>
    <t xml:space="preserve">not even</t>
  </si>
  <si>
    <r>
      <rPr>
        <sz val="9"/>
        <color rgb="FF000000"/>
        <rFont val="Noto Sans CJK SC"/>
        <family val="2"/>
      </rPr>
      <t xml:space="preserve">甚至不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連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都不</t>
    </r>
  </si>
  <si>
    <t xml:space="preserve">sam-zi-bat/lin...dou-bat</t>
  </si>
  <si>
    <t xml:space="preserve">chắc chắn là</t>
  </si>
  <si>
    <t xml:space="preserve">certainly / definitely is</t>
  </si>
  <si>
    <r>
      <rPr>
        <sz val="9"/>
        <color rgb="FF000000"/>
        <rFont val="Noto Sans CJK SC"/>
        <family val="2"/>
      </rPr>
      <t xml:space="preserve">肯定是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一定是</t>
    </r>
  </si>
  <si>
    <t xml:space="preserve">hang-ding-si/jat-ding-si</t>
  </si>
  <si>
    <t xml:space="preserve">đúng là</t>
  </si>
  <si>
    <t xml:space="preserve">it's true that / indeed</t>
  </si>
  <si>
    <r>
      <rPr>
        <sz val="9"/>
        <color rgb="FF000000"/>
        <rFont val="Noto Sans CJK SC"/>
        <family val="2"/>
      </rPr>
      <t xml:space="preserve">確實是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的確</t>
    </r>
  </si>
  <si>
    <t xml:space="preserve">kok-sat-si/dik-kok</t>
  </si>
  <si>
    <t xml:space="preserve">thực sự là</t>
  </si>
  <si>
    <t xml:space="preserve">truly / it really is</t>
  </si>
  <si>
    <r>
      <rPr>
        <sz val="9"/>
        <color rgb="FF000000"/>
        <rFont val="Noto Sans CJK SC"/>
        <family val="2"/>
      </rPr>
      <t xml:space="preserve">真的是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確實</t>
    </r>
  </si>
  <si>
    <t xml:space="preserve">zan-dik-si/kok-sat</t>
  </si>
  <si>
    <t xml:space="preserve">nhấn mạnh</t>
  </si>
  <si>
    <t xml:space="preserve">to emphasize / stress</t>
  </si>
  <si>
    <t xml:space="preserve">強調</t>
  </si>
  <si>
    <t xml:space="preserve">koeng-diu</t>
  </si>
  <si>
    <t xml:space="preserve">Sino-Viet: nhấn mạnh</t>
  </si>
  <si>
    <t xml:space="preserve">không chỉ... mà còn...</t>
  </si>
  <si>
    <t xml:space="preserve">not only... but also...</t>
  </si>
  <si>
    <r>
      <rPr>
        <sz val="9"/>
        <color rgb="FF000000"/>
        <rFont val="Noto Sans CJK SC"/>
        <family val="2"/>
      </rPr>
      <t xml:space="preserve">不只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而且</t>
    </r>
    <r>
      <rPr>
        <sz val="9"/>
        <color rgb="FF000000"/>
        <rFont val="Arial"/>
        <family val="0"/>
        <charset val="1"/>
      </rPr>
      <t xml:space="preserve">...</t>
    </r>
  </si>
  <si>
    <t xml:space="preserve">bat-zi...ji-ce...</t>
  </si>
  <si>
    <t xml:space="preserve">cả... lẫn...</t>
  </si>
  <si>
    <t xml:space="preserve">both... and...</t>
  </si>
  <si>
    <r>
      <rPr>
        <sz val="9"/>
        <color rgb="FF000000"/>
        <rFont val="Noto Sans CJK SC"/>
        <family val="2"/>
      </rPr>
      <t xml:space="preserve">既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又</t>
    </r>
    <r>
      <rPr>
        <sz val="9"/>
        <color rgb="FF000000"/>
        <rFont val="Arial"/>
        <family val="0"/>
        <charset val="1"/>
      </rPr>
      <t xml:space="preserve">...</t>
    </r>
  </si>
  <si>
    <t xml:space="preserve">gei...jau...</t>
  </si>
  <si>
    <t xml:space="preserve">dù thế nào đi nữa</t>
  </si>
  <si>
    <t xml:space="preserve">no matter what</t>
  </si>
  <si>
    <t xml:space="preserve">無論如何</t>
  </si>
  <si>
    <t xml:space="preserve">mou-leon-jyu-ho</t>
  </si>
  <si>
    <t xml:space="preserve">to identify a problem</t>
  </si>
  <si>
    <t xml:space="preserve">phân tích nguyên nhân</t>
  </si>
  <si>
    <t xml:space="preserve">to analyze the cause</t>
  </si>
  <si>
    <t xml:space="preserve">分析原因</t>
  </si>
  <si>
    <t xml:space="preserve">fan-sik-jyun-jan</t>
  </si>
  <si>
    <t xml:space="preserve">tìm giải pháp</t>
  </si>
  <si>
    <t xml:space="preserve">to find a solution</t>
  </si>
  <si>
    <t xml:space="preserve">尋找解決方案</t>
  </si>
  <si>
    <t xml:space="preserve">cam-zaau-gaai-kyut-fong-on</t>
  </si>
  <si>
    <t xml:space="preserve">thử nghiệm</t>
  </si>
  <si>
    <t xml:space="preserve">to test / trial</t>
  </si>
  <si>
    <r>
      <rPr>
        <sz val="9"/>
        <color rgb="FF000000"/>
        <rFont val="Noto Sans CJK SC"/>
        <family val="2"/>
      </rPr>
      <t xml:space="preserve">試驗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測試</t>
    </r>
  </si>
  <si>
    <t xml:space="preserve">si-jim/cak-si</t>
  </si>
  <si>
    <t xml:space="preserve">Sino-Viet: thử nghiệm</t>
  </si>
  <si>
    <t xml:space="preserve">đánh giá hiệu quả</t>
  </si>
  <si>
    <t xml:space="preserve">to evaluate effectiveness</t>
  </si>
  <si>
    <t xml:space="preserve">評估效果</t>
  </si>
  <si>
    <t xml:space="preserve">ping-gu-haau-gwo</t>
  </si>
  <si>
    <t xml:space="preserve">điều chỉnh</t>
  </si>
  <si>
    <t xml:space="preserve">to adjust / fine-tune</t>
  </si>
  <si>
    <t xml:space="preserve">調整</t>
  </si>
  <si>
    <t xml:space="preserve">tiu-zing</t>
  </si>
  <si>
    <t xml:space="preserve">Sino-Viet: điều chỉnh</t>
  </si>
  <si>
    <t xml:space="preserve">khắc phục</t>
  </si>
  <si>
    <t xml:space="preserve">to overcome / fix</t>
  </si>
  <si>
    <r>
      <rPr>
        <sz val="9"/>
        <color rgb="FF000000"/>
        <rFont val="Noto Sans CJK SC"/>
        <family val="2"/>
      </rPr>
      <t xml:space="preserve">克服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解決</t>
    </r>
  </si>
  <si>
    <t xml:space="preserve">hak-fuk/gaai-kyut</t>
  </si>
  <si>
    <t xml:space="preserve">Sino-Viet: khắc phục</t>
  </si>
  <si>
    <t xml:space="preserve">tránh né</t>
  </si>
  <si>
    <t xml:space="preserve">to avoid / dodge</t>
  </si>
  <si>
    <r>
      <rPr>
        <sz val="9"/>
        <color rgb="FF000000"/>
        <rFont val="Noto Sans CJK SC"/>
        <family val="2"/>
      </rPr>
      <t xml:space="preserve">迴避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逃避</t>
    </r>
  </si>
  <si>
    <t xml:space="preserve">wui-bei/tou-bei</t>
  </si>
  <si>
    <t xml:space="preserve">đối mặt với</t>
  </si>
  <si>
    <t xml:space="preserve">to face / confront</t>
  </si>
  <si>
    <r>
      <rPr>
        <sz val="9"/>
        <color rgb="FF000000"/>
        <rFont val="Noto Sans CJK SC"/>
        <family val="2"/>
      </rPr>
      <t xml:space="preserve">面對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面臨</t>
    </r>
  </si>
  <si>
    <t xml:space="preserve">min-deoi/min-lam</t>
  </si>
  <si>
    <t xml:space="preserve">chịu đựng</t>
  </si>
  <si>
    <t xml:space="preserve">to endure / put up with</t>
  </si>
  <si>
    <r>
      <rPr>
        <sz val="9"/>
        <color rgb="FF000000"/>
        <rFont val="Noto Sans CJK SC"/>
        <family val="2"/>
      </rPr>
      <t xml:space="preserve">忍受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承受</t>
    </r>
  </si>
  <si>
    <t xml:space="preserve">jan-sau/sing-sau</t>
  </si>
  <si>
    <t xml:space="preserve">biến thách thức thành cơ hội</t>
  </si>
  <si>
    <t xml:space="preserve">turn challenges into opportunities</t>
  </si>
  <si>
    <t xml:space="preserve">化危為機</t>
  </si>
  <si>
    <t xml:space="preserve">faa-ngai-wai-gei</t>
  </si>
  <si>
    <t xml:space="preserve">Sino-Viet: hoá nguy thành cơ</t>
  </si>
  <si>
    <t xml:space="preserve">học hỏi từ sai lầm</t>
  </si>
  <si>
    <t xml:space="preserve">to learn from mistakes</t>
  </si>
  <si>
    <t xml:space="preserve">從錯誤中學習</t>
  </si>
  <si>
    <t xml:space="preserve">cung-co-ng-zung-hok-zaap</t>
  </si>
  <si>
    <t xml:space="preserve">đề phòng</t>
  </si>
  <si>
    <t xml:space="preserve">to take precautions</t>
  </si>
  <si>
    <r>
      <rPr>
        <sz val="9"/>
        <color rgb="FF000000"/>
        <rFont val="Noto Sans CJK SC"/>
        <family val="2"/>
      </rPr>
      <t xml:space="preserve">預防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防範</t>
    </r>
  </si>
  <si>
    <t xml:space="preserve">jyu-fong/fong-faan</t>
  </si>
  <si>
    <t xml:space="preserve">Sino-Viet: đề phòng</t>
  </si>
  <si>
    <t xml:space="preserve">xử lý</t>
  </si>
  <si>
    <t xml:space="preserve">to handle / deal with</t>
  </si>
  <si>
    <t xml:space="preserve">處理</t>
  </si>
  <si>
    <t xml:space="preserve">cyu-lei</t>
  </si>
  <si>
    <t xml:space="preserve">Sino-Viet: xử lý</t>
  </si>
  <si>
    <t xml:space="preserve">hổ / cọp</t>
  </si>
  <si>
    <t xml:space="preserve">tiger</t>
  </si>
  <si>
    <t xml:space="preserve">老虎</t>
  </si>
  <si>
    <t xml:space="preserve">lou-fu</t>
  </si>
  <si>
    <t xml:space="preserve">cọp is Southern</t>
  </si>
  <si>
    <t xml:space="preserve">voi</t>
  </si>
  <si>
    <t xml:space="preserve">elephant</t>
  </si>
  <si>
    <t xml:space="preserve">象</t>
  </si>
  <si>
    <t xml:space="preserve">khỉ</t>
  </si>
  <si>
    <t xml:space="preserve">monkey</t>
  </si>
  <si>
    <t xml:space="preserve">猴</t>
  </si>
  <si>
    <t xml:space="preserve">gấu</t>
  </si>
  <si>
    <t xml:space="preserve">bear</t>
  </si>
  <si>
    <t xml:space="preserve">熊</t>
  </si>
  <si>
    <t xml:space="preserve">sói</t>
  </si>
  <si>
    <t xml:space="preserve">wolf</t>
  </si>
  <si>
    <t xml:space="preserve">狼</t>
  </si>
  <si>
    <t xml:space="preserve">cáo</t>
  </si>
  <si>
    <t xml:space="preserve">fox</t>
  </si>
  <si>
    <t xml:space="preserve">狐狸</t>
  </si>
  <si>
    <t xml:space="preserve">wu-lei</t>
  </si>
  <si>
    <t xml:space="preserve">thỏ</t>
  </si>
  <si>
    <t xml:space="preserve">rabbit</t>
  </si>
  <si>
    <t xml:space="preserve">兔</t>
  </si>
  <si>
    <t xml:space="preserve">rắn</t>
  </si>
  <si>
    <t xml:space="preserve">snake</t>
  </si>
  <si>
    <t xml:space="preserve">蛇</t>
  </si>
  <si>
    <t xml:space="preserve">cá sấu</t>
  </si>
  <si>
    <t xml:space="preserve">crocodile</t>
  </si>
  <si>
    <t xml:space="preserve">鱷魚</t>
  </si>
  <si>
    <t xml:space="preserve">ngok-jyu</t>
  </si>
  <si>
    <t xml:space="preserve">rùa</t>
  </si>
  <si>
    <t xml:space="preserve">turtle</t>
  </si>
  <si>
    <t xml:space="preserve">龜</t>
  </si>
  <si>
    <t xml:space="preserve">Sino-Viet: quy</t>
  </si>
  <si>
    <t xml:space="preserve">ếch</t>
  </si>
  <si>
    <t xml:space="preserve">frog</t>
  </si>
  <si>
    <t xml:space="preserve">青蛙</t>
  </si>
  <si>
    <t xml:space="preserve">cing-waa</t>
  </si>
  <si>
    <t xml:space="preserve">bướm</t>
  </si>
  <si>
    <t xml:space="preserve">butterfly</t>
  </si>
  <si>
    <t xml:space="preserve">蝴蝶</t>
  </si>
  <si>
    <t xml:space="preserve">wu-dip</t>
  </si>
  <si>
    <t xml:space="preserve">ong</t>
  </si>
  <si>
    <t xml:space="preserve">bee</t>
  </si>
  <si>
    <t xml:space="preserve">蜜蜂</t>
  </si>
  <si>
    <t xml:space="preserve">mat-fung</t>
  </si>
  <si>
    <t xml:space="preserve">kiến</t>
  </si>
  <si>
    <t xml:space="preserve">ant</t>
  </si>
  <si>
    <t xml:space="preserve">螞蟻</t>
  </si>
  <si>
    <t xml:space="preserve">maa-ngai</t>
  </si>
  <si>
    <t xml:space="preserve">muỗi</t>
  </si>
  <si>
    <t xml:space="preserve">mosquito</t>
  </si>
  <si>
    <t xml:space="preserve">蚊</t>
  </si>
  <si>
    <t xml:space="preserve">chuột</t>
  </si>
  <si>
    <t xml:space="preserve">rat / mouse</t>
  </si>
  <si>
    <t xml:space="preserve">老鼠</t>
  </si>
  <si>
    <t xml:space="preserve">lou-syu</t>
  </si>
  <si>
    <t xml:space="preserve">dê</t>
  </si>
  <si>
    <t xml:space="preserve">goat</t>
  </si>
  <si>
    <t xml:space="preserve">山羊</t>
  </si>
  <si>
    <t xml:space="preserve">saan-joeng</t>
  </si>
  <si>
    <t xml:space="preserve">cừu</t>
  </si>
  <si>
    <t xml:space="preserve">sheep</t>
  </si>
  <si>
    <t xml:space="preserve">羊</t>
  </si>
  <si>
    <t xml:space="preserve">joeng</t>
  </si>
  <si>
    <t xml:space="preserve">ngựa</t>
  </si>
  <si>
    <t xml:space="preserve">horse</t>
  </si>
  <si>
    <t xml:space="preserve">馬</t>
  </si>
  <si>
    <t xml:space="preserve">maa</t>
  </si>
  <si>
    <t xml:space="preserve">Sino-Viet: mã</t>
  </si>
  <si>
    <t xml:space="preserve">trâu</t>
  </si>
  <si>
    <t xml:space="preserve">water buffalo</t>
  </si>
  <si>
    <t xml:space="preserve">水牛</t>
  </si>
  <si>
    <t xml:space="preserve">seoi-ngau</t>
  </si>
  <si>
    <t xml:space="preserve">important in Vietnamese agriculture</t>
  </si>
  <si>
    <t xml:space="preserve">vịt</t>
  </si>
  <si>
    <t xml:space="preserve">duck</t>
  </si>
  <si>
    <t xml:space="preserve">鴨</t>
  </si>
  <si>
    <t xml:space="preserve">aap</t>
  </si>
  <si>
    <t xml:space="preserve">ngan / ngỗng</t>
  </si>
  <si>
    <t xml:space="preserve">goose</t>
  </si>
  <si>
    <t xml:space="preserve">鵝</t>
  </si>
  <si>
    <t xml:space="preserve">ngo</t>
  </si>
  <si>
    <t xml:space="preserve">cá voi</t>
  </si>
  <si>
    <t xml:space="preserve">whale</t>
  </si>
  <si>
    <t xml:space="preserve">鯨魚</t>
  </si>
  <si>
    <t xml:space="preserve">king-jyu</t>
  </si>
  <si>
    <t xml:space="preserve">cá mập</t>
  </si>
  <si>
    <t xml:space="preserve">shark</t>
  </si>
  <si>
    <t xml:space="preserve">鯊魚</t>
  </si>
  <si>
    <t xml:space="preserve">saa-jyu</t>
  </si>
  <si>
    <t xml:space="preserve">tôm hùm</t>
  </si>
  <si>
    <t xml:space="preserve">lobster</t>
  </si>
  <si>
    <t xml:space="preserve">龍蝦</t>
  </si>
  <si>
    <t xml:space="preserve">lung-haa</t>
  </si>
  <si>
    <t xml:space="preserve">bạch tuộc</t>
  </si>
  <si>
    <t xml:space="preserve">octopus</t>
  </si>
  <si>
    <t xml:space="preserve">章魚</t>
  </si>
  <si>
    <t xml:space="preserve">zoeng-jyu</t>
  </si>
  <si>
    <t xml:space="preserve">hạn hán</t>
  </si>
  <si>
    <t xml:space="preserve">drought</t>
  </si>
  <si>
    <t xml:space="preserve">旱災</t>
  </si>
  <si>
    <t xml:space="preserve">hon-zoi</t>
  </si>
  <si>
    <t xml:space="preserve">lốc xoáy</t>
  </si>
  <si>
    <t xml:space="preserve">tornado / whirlwind</t>
  </si>
  <si>
    <t xml:space="preserve">龍捲風</t>
  </si>
  <si>
    <t xml:space="preserve">lung-gyun-fung</t>
  </si>
  <si>
    <t xml:space="preserve">sóng thần</t>
  </si>
  <si>
    <t xml:space="preserve">tsunami</t>
  </si>
  <si>
    <t xml:space="preserve">海嘯</t>
  </si>
  <si>
    <t xml:space="preserve">hoi-siu</t>
  </si>
  <si>
    <t xml:space="preserve">Sino-Viet: sóng thần</t>
  </si>
  <si>
    <t xml:space="preserve">núi lửa</t>
  </si>
  <si>
    <t xml:space="preserve">volcano</t>
  </si>
  <si>
    <t xml:space="preserve">火山</t>
  </si>
  <si>
    <t xml:space="preserve">fo-saan</t>
  </si>
  <si>
    <t xml:space="preserve">sạt lở đất</t>
  </si>
  <si>
    <t xml:space="preserve">landslide</t>
  </si>
  <si>
    <t xml:space="preserve">山泥傾瀉</t>
  </si>
  <si>
    <t xml:space="preserve">saan-nai-king-se</t>
  </si>
  <si>
    <t xml:space="preserve">mưa axit</t>
  </si>
  <si>
    <t xml:space="preserve">acid rain</t>
  </si>
  <si>
    <t xml:space="preserve">酸雨</t>
  </si>
  <si>
    <t xml:space="preserve">syun-jyu</t>
  </si>
  <si>
    <t xml:space="preserve">hiệu ứng nhà kính</t>
  </si>
  <si>
    <t xml:space="preserve">greenhouse effect</t>
  </si>
  <si>
    <t xml:space="preserve">溫室效應</t>
  </si>
  <si>
    <t xml:space="preserve">wan-sat-haau-jing</t>
  </si>
  <si>
    <t xml:space="preserve">nóng lên toàn cầu</t>
  </si>
  <si>
    <t xml:space="preserve">global warming</t>
  </si>
  <si>
    <t xml:space="preserve">全球暖化</t>
  </si>
  <si>
    <t xml:space="preserve">cyun-kau-nyun-faa</t>
  </si>
  <si>
    <t xml:space="preserve">băng tan</t>
  </si>
  <si>
    <t xml:space="preserve">melting ice / glacial melt</t>
  </si>
  <si>
    <t xml:space="preserve">冰雪融化</t>
  </si>
  <si>
    <t xml:space="preserve">bing-syut-jung-faa</t>
  </si>
  <si>
    <t xml:space="preserve">mùa bão</t>
  </si>
  <si>
    <t xml:space="preserve">typhoon season</t>
  </si>
  <si>
    <t xml:space="preserve">颱風季節</t>
  </si>
  <si>
    <t xml:space="preserve">toi-fung-gwai-zit</t>
  </si>
  <si>
    <t xml:space="preserve">cảnh báo lũ lụt</t>
  </si>
  <si>
    <t xml:space="preserve">flood warning</t>
  </si>
  <si>
    <t xml:space="preserve">洪水警報</t>
  </si>
  <si>
    <t xml:space="preserve">hung-seoi-ging-bou</t>
  </si>
  <si>
    <t xml:space="preserve">thiên tai</t>
  </si>
  <si>
    <t xml:space="preserve">natural disaster</t>
  </si>
  <si>
    <t xml:space="preserve">天災</t>
  </si>
  <si>
    <t xml:space="preserve">tin-zoi</t>
  </si>
  <si>
    <t xml:space="preserve">Sino-Viet: thiên tai</t>
  </si>
  <si>
    <t xml:space="preserve">áo khoác</t>
  </si>
  <si>
    <t xml:space="preserve">jacket / coat</t>
  </si>
  <si>
    <t xml:space="preserve">外套</t>
  </si>
  <si>
    <t xml:space="preserve">ngoi-tou</t>
  </si>
  <si>
    <t xml:space="preserve">áo len</t>
  </si>
  <si>
    <t xml:space="preserve">sweater / knit top</t>
  </si>
  <si>
    <t xml:space="preserve">毛衣</t>
  </si>
  <si>
    <t xml:space="preserve">mou-ji</t>
  </si>
  <si>
    <t xml:space="preserve">áo sơ mi</t>
  </si>
  <si>
    <t xml:space="preserve">dress shirt</t>
  </si>
  <si>
    <t xml:space="preserve">恤衫</t>
  </si>
  <si>
    <t xml:space="preserve">seot-saam</t>
  </si>
  <si>
    <t xml:space="preserve">áo thun</t>
  </si>
  <si>
    <t xml:space="preserve">T-shirt</t>
  </si>
  <si>
    <r>
      <rPr>
        <sz val="9"/>
        <color rgb="FF000000"/>
        <rFont val="Arial"/>
        <family val="0"/>
        <charset val="1"/>
      </rPr>
      <t xml:space="preserve">T</t>
    </r>
    <r>
      <rPr>
        <sz val="9"/>
        <color rgb="FF000000"/>
        <rFont val="Noto Sans CJK SC"/>
        <family val="2"/>
      </rPr>
      <t xml:space="preserve">恤</t>
    </r>
  </si>
  <si>
    <t xml:space="preserve">T-seot</t>
  </si>
  <si>
    <t xml:space="preserve">Southern term</t>
  </si>
  <si>
    <t xml:space="preserve">quần short</t>
  </si>
  <si>
    <t xml:space="preserve">shorts</t>
  </si>
  <si>
    <t xml:space="preserve">短褲</t>
  </si>
  <si>
    <t xml:space="preserve">dyun-fu</t>
  </si>
  <si>
    <t xml:space="preserve">quần jean</t>
  </si>
  <si>
    <t xml:space="preserve">jeans</t>
  </si>
  <si>
    <t xml:space="preserve">牛仔褲</t>
  </si>
  <si>
    <t xml:space="preserve">ngau-zai-fu</t>
  </si>
  <si>
    <t xml:space="preserve">quần tây</t>
  </si>
  <si>
    <t xml:space="preserve">trousers / dress pants</t>
  </si>
  <si>
    <t xml:space="preserve">西裝褲</t>
  </si>
  <si>
    <t xml:space="preserve">sai-zong-fu</t>
  </si>
  <si>
    <t xml:space="preserve">áo vest</t>
  </si>
  <si>
    <t xml:space="preserve">suit jacket / blazer</t>
  </si>
  <si>
    <t xml:space="preserve">西裝上衣</t>
  </si>
  <si>
    <t xml:space="preserve">sai-zong-soeng-ji</t>
  </si>
  <si>
    <t xml:space="preserve">bộ vest</t>
  </si>
  <si>
    <t xml:space="preserve">suit (full)</t>
  </si>
  <si>
    <t xml:space="preserve">西裝</t>
  </si>
  <si>
    <t xml:space="preserve">sai-zong</t>
  </si>
  <si>
    <t xml:space="preserve">đồng phục</t>
  </si>
  <si>
    <t xml:space="preserve">uniform</t>
  </si>
  <si>
    <t xml:space="preserve">制服</t>
  </si>
  <si>
    <t xml:space="preserve">zai-fuk</t>
  </si>
  <si>
    <t xml:space="preserve">Sino-Viet: đồng phục</t>
  </si>
  <si>
    <t xml:space="preserve">trang phục truyền thống</t>
  </si>
  <si>
    <t xml:space="preserve">traditional costume</t>
  </si>
  <si>
    <t xml:space="preserve">傳統服飾</t>
  </si>
  <si>
    <t xml:space="preserve">cyun-tung-fuk-sik</t>
  </si>
  <si>
    <t xml:space="preserve">fabric / cloth</t>
  </si>
  <si>
    <t xml:space="preserve">布料</t>
  </si>
  <si>
    <t xml:space="preserve">bou-liu</t>
  </si>
  <si>
    <t xml:space="preserve">cotton / vải bông</t>
  </si>
  <si>
    <t xml:space="preserve">cotton</t>
  </si>
  <si>
    <r>
      <rPr>
        <sz val="9"/>
        <color rgb="FF000000"/>
        <rFont val="Noto Sans CJK SC"/>
        <family val="2"/>
      </rPr>
      <t xml:space="preserve">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棉布</t>
    </r>
  </si>
  <si>
    <t xml:space="preserve">min/min-bou</t>
  </si>
  <si>
    <t xml:space="preserve">lụa</t>
  </si>
  <si>
    <t xml:space="preserve">silk</t>
  </si>
  <si>
    <t xml:space="preserve">絲綢</t>
  </si>
  <si>
    <t xml:space="preserve">si-cau</t>
  </si>
  <si>
    <t xml:space="preserve">Sino-Viet: lụa</t>
  </si>
  <si>
    <t xml:space="preserve">thắt lưng</t>
  </si>
  <si>
    <t xml:space="preserve">belt</t>
  </si>
  <si>
    <t xml:space="preserve">皮帶</t>
  </si>
  <si>
    <t xml:space="preserve">pei-daai</t>
  </si>
  <si>
    <t xml:space="preserve">tất / vớ</t>
  </si>
  <si>
    <t xml:space="preserve">socks</t>
  </si>
  <si>
    <t xml:space="preserve">襪</t>
  </si>
  <si>
    <t xml:space="preserve">mat</t>
  </si>
  <si>
    <t xml:space="preserve">vớ = Southern</t>
  </si>
  <si>
    <t xml:space="preserve">đồ ngủ</t>
  </si>
  <si>
    <t xml:space="preserve">pyjamas / sleepwear</t>
  </si>
  <si>
    <t xml:space="preserve">睡衣</t>
  </si>
  <si>
    <t xml:space="preserve">seoi-ji</t>
  </si>
  <si>
    <t xml:space="preserve">đồ bơi</t>
  </si>
  <si>
    <t xml:space="preserve">swimwear</t>
  </si>
  <si>
    <t xml:space="preserve">泳衣</t>
  </si>
  <si>
    <t xml:space="preserve">wing-ji</t>
  </si>
  <si>
    <t xml:space="preserve">phong cách</t>
  </si>
  <si>
    <t xml:space="preserve">style</t>
  </si>
  <si>
    <t xml:space="preserve">風格</t>
  </si>
  <si>
    <t xml:space="preserve">fung-gaak</t>
  </si>
  <si>
    <t xml:space="preserve">Sino-Viet: phong cách</t>
  </si>
  <si>
    <t xml:space="preserve">hợp thời trang</t>
  </si>
  <si>
    <t xml:space="preserve">fashionable / trendy</t>
  </si>
  <si>
    <r>
      <rPr>
        <sz val="9"/>
        <color rgb="FF000000"/>
        <rFont val="Noto Sans CJK SC"/>
        <family val="2"/>
      </rPr>
      <t xml:space="preserve">時髦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時尚</t>
    </r>
  </si>
  <si>
    <t xml:space="preserve">si-mou/si-soeng</t>
  </si>
  <si>
    <t xml:space="preserve">nội thất</t>
  </si>
  <si>
    <t xml:space="preserve">furniture / interior</t>
  </si>
  <si>
    <r>
      <rPr>
        <sz val="9"/>
        <color rgb="FF000000"/>
        <rFont val="Noto Sans CJK SC"/>
        <family val="2"/>
      </rPr>
      <t xml:space="preserve">室內裝修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家具</t>
    </r>
  </si>
  <si>
    <t xml:space="preserve">sat-noi-zong-sau/gaa-geoi</t>
  </si>
  <si>
    <t xml:space="preserve">Sino-Viet: nội thất</t>
  </si>
  <si>
    <t xml:space="preserve">thiết kế nội thất</t>
  </si>
  <si>
    <t xml:space="preserve">interior design</t>
  </si>
  <si>
    <t xml:space="preserve">室內設計</t>
  </si>
  <si>
    <t xml:space="preserve">sat-noi-cit-gai</t>
  </si>
  <si>
    <t xml:space="preserve">sàn nhà</t>
  </si>
  <si>
    <t xml:space="preserve">floor</t>
  </si>
  <si>
    <t xml:space="preserve">地板</t>
  </si>
  <si>
    <t xml:space="preserve">dei-baan</t>
  </si>
  <si>
    <t xml:space="preserve">trần nhà</t>
  </si>
  <si>
    <t xml:space="preserve">ceiling</t>
  </si>
  <si>
    <t xml:space="preserve">天花板</t>
  </si>
  <si>
    <t xml:space="preserve">tin-faa-baan</t>
  </si>
  <si>
    <t xml:space="preserve">tường</t>
  </si>
  <si>
    <t xml:space="preserve">wall</t>
  </si>
  <si>
    <t xml:space="preserve">牆</t>
  </si>
  <si>
    <t xml:space="preserve">mái nhà</t>
  </si>
  <si>
    <t xml:space="preserve">roof</t>
  </si>
  <si>
    <t xml:space="preserve">屋頂</t>
  </si>
  <si>
    <t xml:space="preserve">uk-ding</t>
  </si>
  <si>
    <t xml:space="preserve">bậc thềm</t>
  </si>
  <si>
    <t xml:space="preserve">doorstep / step</t>
  </si>
  <si>
    <r>
      <rPr>
        <sz val="9"/>
        <color rgb="FF000000"/>
        <rFont val="Noto Sans CJK SC"/>
        <family val="2"/>
      </rPr>
      <t xml:space="preserve">門檻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台階</t>
    </r>
  </si>
  <si>
    <t xml:space="preserve">mun-haam/toi-gaai</t>
  </si>
  <si>
    <t xml:space="preserve">hiên nhà</t>
  </si>
  <si>
    <t xml:space="preserve">porch / verandah</t>
  </si>
  <si>
    <r>
      <rPr>
        <sz val="9"/>
        <color rgb="FF000000"/>
        <rFont val="Noto Sans CJK SC"/>
        <family val="2"/>
      </rPr>
      <t xml:space="preserve">走廊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門廊</t>
    </r>
  </si>
  <si>
    <t xml:space="preserve">zau-long/mun-long</t>
  </si>
  <si>
    <t xml:space="preserve">sân</t>
  </si>
  <si>
    <t xml:space="preserve">yard / courtyard</t>
  </si>
  <si>
    <t xml:space="preserve">院子</t>
  </si>
  <si>
    <t xml:space="preserve">vườn</t>
  </si>
  <si>
    <t xml:space="preserve">garden</t>
  </si>
  <si>
    <r>
      <rPr>
        <sz val="9"/>
        <color rgb="FF000000"/>
        <rFont val="Noto Sans CJK SC"/>
        <family val="2"/>
      </rPr>
      <t xml:space="preserve">花園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庭院</t>
    </r>
  </si>
  <si>
    <t xml:space="preserve">faa-jyun/ting-jyun</t>
  </si>
  <si>
    <t xml:space="preserve">bể bơi</t>
  </si>
  <si>
    <t xml:space="preserve">swimming pool</t>
  </si>
  <si>
    <t xml:space="preserve">游泳池</t>
  </si>
  <si>
    <t xml:space="preserve">jau-wing-ci</t>
  </si>
  <si>
    <t xml:space="preserve">hàng rào</t>
  </si>
  <si>
    <t xml:space="preserve">fence</t>
  </si>
  <si>
    <r>
      <rPr>
        <sz val="9"/>
        <color rgb="FF000000"/>
        <rFont val="Noto Sans CJK SC"/>
        <family val="2"/>
      </rPr>
      <t xml:space="preserve">籬笆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圍欄</t>
    </r>
  </si>
  <si>
    <t xml:space="preserve">lei-baa/wai-laan</t>
  </si>
  <si>
    <t xml:space="preserve">tủ bếp</t>
  </si>
  <si>
    <t xml:space="preserve">kitchen cabinet</t>
  </si>
  <si>
    <t xml:space="preserve">廚櫃</t>
  </si>
  <si>
    <t xml:space="preserve">cyu-gwai</t>
  </si>
  <si>
    <t xml:space="preserve">bồn tắm</t>
  </si>
  <si>
    <t xml:space="preserve">bathtub</t>
  </si>
  <si>
    <t xml:space="preserve">浴缸</t>
  </si>
  <si>
    <t xml:space="preserve">juk-gong</t>
  </si>
  <si>
    <t xml:space="preserve">vòi sen</t>
  </si>
  <si>
    <t xml:space="preserve">shower</t>
  </si>
  <si>
    <r>
      <rPr>
        <sz val="9"/>
        <color rgb="FF000000"/>
        <rFont val="Noto Sans CJK SC"/>
        <family val="2"/>
      </rPr>
      <t xml:space="preserve">花灑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淋浴</t>
    </r>
  </si>
  <si>
    <t xml:space="preserve">faa-saa/lam-juk</t>
  </si>
  <si>
    <t xml:space="preserve">bồn rửa tay</t>
  </si>
  <si>
    <t xml:space="preserve">sink / washbasin</t>
  </si>
  <si>
    <t xml:space="preserve">洗手盆</t>
  </si>
  <si>
    <t xml:space="preserve">sai-sau-pun</t>
  </si>
  <si>
    <t xml:space="preserve">bệ xí / bồn cầu</t>
  </si>
  <si>
    <t xml:space="preserve">toilet bowl</t>
  </si>
  <si>
    <t xml:space="preserve">馬桶</t>
  </si>
  <si>
    <t xml:space="preserve">maa-tung</t>
  </si>
  <si>
    <t xml:space="preserve">rèm</t>
  </si>
  <si>
    <t xml:space="preserve">curtain</t>
  </si>
  <si>
    <t xml:space="preserve">窗簾</t>
  </si>
  <si>
    <t xml:space="preserve">coeng-lim</t>
  </si>
  <si>
    <t xml:space="preserve">thảm</t>
  </si>
  <si>
    <t xml:space="preserve">carpet / rug</t>
  </si>
  <si>
    <t xml:space="preserve">地毯</t>
  </si>
  <si>
    <t xml:space="preserve">dei-taan</t>
  </si>
  <si>
    <t xml:space="preserve">đệm</t>
  </si>
  <si>
    <t xml:space="preserve">mattress / cushion</t>
  </si>
  <si>
    <r>
      <rPr>
        <sz val="9"/>
        <color rgb="FF000000"/>
        <rFont val="Noto Sans CJK SC"/>
        <family val="2"/>
      </rPr>
      <t xml:space="preserve">床褥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墊</t>
    </r>
  </si>
  <si>
    <t xml:space="preserve">cong-juk/din</t>
  </si>
  <si>
    <t xml:space="preserve">lắng nghe</t>
  </si>
  <si>
    <t xml:space="preserve">to listen attentively</t>
  </si>
  <si>
    <r>
      <rPr>
        <sz val="9"/>
        <color rgb="FF000000"/>
        <rFont val="Noto Sans CJK SC"/>
        <family val="2"/>
      </rPr>
      <t xml:space="preserve">傾聽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聆聽</t>
    </r>
  </si>
  <si>
    <t xml:space="preserve">king-ting/ling-ting</t>
  </si>
  <si>
    <t xml:space="preserve">diễn đạt</t>
  </si>
  <si>
    <t xml:space="preserve">to express / articulate</t>
  </si>
  <si>
    <t xml:space="preserve">表達</t>
  </si>
  <si>
    <t xml:space="preserve">biu-daat</t>
  </si>
  <si>
    <t xml:space="preserve">Sino-Viet: diễn đạt</t>
  </si>
  <si>
    <t xml:space="preserve">trình bày</t>
  </si>
  <si>
    <t xml:space="preserve">to present / lay out</t>
  </si>
  <si>
    <r>
      <rPr>
        <sz val="9"/>
        <color rgb="FF000000"/>
        <rFont val="Noto Sans CJK SC"/>
        <family val="2"/>
      </rPr>
      <t xml:space="preserve">陳述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呈現</t>
    </r>
  </si>
  <si>
    <t xml:space="preserve">can-seot/cing-jin</t>
  </si>
  <si>
    <t xml:space="preserve">tóm tắt lại</t>
  </si>
  <si>
    <t xml:space="preserve">to summarize / recap</t>
  </si>
  <si>
    <t xml:space="preserve">nhắc lại</t>
  </si>
  <si>
    <t xml:space="preserve">to repeat / reiterate</t>
  </si>
  <si>
    <r>
      <rPr>
        <sz val="9"/>
        <color rgb="FF000000"/>
        <rFont val="Noto Sans CJK SC"/>
        <family val="2"/>
      </rPr>
      <t xml:space="preserve">重申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再說</t>
    </r>
  </si>
  <si>
    <t xml:space="preserve">zung-san/zoi-syut</t>
  </si>
  <si>
    <t xml:space="preserve">nêu ví dụ</t>
  </si>
  <si>
    <t xml:space="preserve">to give an example</t>
  </si>
  <si>
    <t xml:space="preserve">舉例</t>
  </si>
  <si>
    <t xml:space="preserve">geoi-lai</t>
  </si>
  <si>
    <t xml:space="preserve">mở rộng ý</t>
  </si>
  <si>
    <t xml:space="preserve">to elaborate / expand on</t>
  </si>
  <si>
    <r>
      <rPr>
        <sz val="9"/>
        <color rgb="FF000000"/>
        <rFont val="Noto Sans CJK SC"/>
        <family val="2"/>
      </rPr>
      <t xml:space="preserve">展開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詳述</t>
    </r>
  </si>
  <si>
    <t xml:space="preserve">zin-hoi/coeng-seot</t>
  </si>
  <si>
    <t xml:space="preserve">từ đồng nghĩa</t>
  </si>
  <si>
    <t xml:space="preserve">synonym</t>
  </si>
  <si>
    <t xml:space="preserve">同義詞</t>
  </si>
  <si>
    <t xml:space="preserve">tung-ji-ci</t>
  </si>
  <si>
    <t xml:space="preserve">Sino-Viet: đồng nghĩa</t>
  </si>
  <si>
    <t xml:space="preserve">từ trái nghĩa</t>
  </si>
  <si>
    <t xml:space="preserve">antonym</t>
  </si>
  <si>
    <t xml:space="preserve">反義詞</t>
  </si>
  <si>
    <t xml:space="preserve">faan-ji-ci</t>
  </si>
  <si>
    <t xml:space="preserve">thành ngữ</t>
  </si>
  <si>
    <t xml:space="preserve">idiom / set phrase</t>
  </si>
  <si>
    <r>
      <rPr>
        <sz val="9"/>
        <color rgb="FF000000"/>
        <rFont val="Noto Sans CJK SC"/>
        <family val="2"/>
      </rPr>
      <t xml:space="preserve">成語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慣用語</t>
    </r>
  </si>
  <si>
    <t xml:space="preserve">sing-jyu/gwaan-jung-jyu</t>
  </si>
  <si>
    <t xml:space="preserve">Sino-Viet: thành ngữ</t>
  </si>
  <si>
    <t xml:space="preserve">tục ngữ</t>
  </si>
  <si>
    <t xml:space="preserve">proverb</t>
  </si>
  <si>
    <t xml:space="preserve">諺語</t>
  </si>
  <si>
    <t xml:space="preserve">jim-jyu</t>
  </si>
  <si>
    <t xml:space="preserve">Sino-Viet: tục ngữ</t>
  </si>
  <si>
    <t xml:space="preserve">câu hỏi tu từ</t>
  </si>
  <si>
    <t xml:space="preserve">rhetorical question</t>
  </si>
  <si>
    <t xml:space="preserve">反問</t>
  </si>
  <si>
    <t xml:space="preserve">faan-man</t>
  </si>
  <si>
    <t xml:space="preserve">ngôn ngữ cơ thể</t>
  </si>
  <si>
    <t xml:space="preserve">body language</t>
  </si>
  <si>
    <t xml:space="preserve">肢體語言</t>
  </si>
  <si>
    <t xml:space="preserve">zi-tai-jyu-jin</t>
  </si>
  <si>
    <t xml:space="preserve">giọng điệu</t>
  </si>
  <si>
    <t xml:space="preserve">tone of voice / intonation</t>
  </si>
  <si>
    <r>
      <rPr>
        <sz val="9"/>
        <color rgb="FF000000"/>
        <rFont val="Noto Sans CJK SC"/>
        <family val="2"/>
      </rPr>
      <t xml:space="preserve">語氣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聲調</t>
    </r>
  </si>
  <si>
    <t xml:space="preserve">jyu-hei/sing-diu</t>
  </si>
  <si>
    <t xml:space="preserve">Sino-Viet: giọng điệu</t>
  </si>
  <si>
    <t xml:space="preserve">phong cách viết</t>
  </si>
  <si>
    <t xml:space="preserve">writing style</t>
  </si>
  <si>
    <t xml:space="preserve">寫作風格</t>
  </si>
  <si>
    <t xml:space="preserve">se-zok-fung-gaak</t>
  </si>
  <si>
    <t xml:space="preserve">lỗi ngữ pháp</t>
  </si>
  <si>
    <t xml:space="preserve">grammar mistake</t>
  </si>
  <si>
    <t xml:space="preserve">語法錯誤</t>
  </si>
  <si>
    <t xml:space="preserve">jyu-faat-co-ng</t>
  </si>
  <si>
    <t xml:space="preserve">phát âm chuẩn</t>
  </si>
  <si>
    <t xml:space="preserve">correct pronunciation</t>
  </si>
  <si>
    <t xml:space="preserve">標準發音</t>
  </si>
  <si>
    <t xml:space="preserve">biu-zeon-faat-jam</t>
  </si>
  <si>
    <t xml:space="preserve">trọng âm</t>
  </si>
  <si>
    <t xml:space="preserve">stress / accent (phonics)</t>
  </si>
  <si>
    <t xml:space="preserve">重音</t>
  </si>
  <si>
    <t xml:space="preserve">zung-jam</t>
  </si>
  <si>
    <t xml:space="preserve">Sino-Viet: trọng âm</t>
  </si>
  <si>
    <t xml:space="preserve">âm tiết</t>
  </si>
  <si>
    <t xml:space="preserve">syllable</t>
  </si>
  <si>
    <t xml:space="preserve">音節</t>
  </si>
  <si>
    <t xml:space="preserve">jam-zit</t>
  </si>
  <si>
    <t xml:space="preserve">Sino-Viet: âm tiết</t>
  </si>
  <si>
    <t xml:space="preserve">câu ghép</t>
  </si>
  <si>
    <t xml:space="preserve">compound sentence</t>
  </si>
  <si>
    <t xml:space="preserve">複合句</t>
  </si>
  <si>
    <t xml:space="preserve">fuk-hap-geoi</t>
  </si>
  <si>
    <t xml:space="preserve">vận chuyển</t>
  </si>
  <si>
    <t xml:space="preserve">transportation / shipping</t>
  </si>
  <si>
    <t xml:space="preserve">運輸</t>
  </si>
  <si>
    <t xml:space="preserve">wan-syu</t>
  </si>
  <si>
    <t xml:space="preserve">Sino-Viet: vận chuyển</t>
  </si>
  <si>
    <t xml:space="preserve">giao hàng</t>
  </si>
  <si>
    <t xml:space="preserve">delivery</t>
  </si>
  <si>
    <t xml:space="preserve">送貨</t>
  </si>
  <si>
    <t xml:space="preserve">sung-fo</t>
  </si>
  <si>
    <t xml:space="preserve">kho hàng</t>
  </si>
  <si>
    <t xml:space="preserve">warehouse</t>
  </si>
  <si>
    <t xml:space="preserve">倉庫</t>
  </si>
  <si>
    <t xml:space="preserve">cong-fu</t>
  </si>
  <si>
    <t xml:space="preserve">bốc xếp</t>
  </si>
  <si>
    <t xml:space="preserve">loading and unloading</t>
  </si>
  <si>
    <t xml:space="preserve">裝卸</t>
  </si>
  <si>
    <t xml:space="preserve">zong-se</t>
  </si>
  <si>
    <t xml:space="preserve">hàng không</t>
  </si>
  <si>
    <t xml:space="preserve">aviation / airline</t>
  </si>
  <si>
    <t xml:space="preserve">航空</t>
  </si>
  <si>
    <t xml:space="preserve">hong-hung</t>
  </si>
  <si>
    <t xml:space="preserve">Sino-Viet: hàng không</t>
  </si>
  <si>
    <t xml:space="preserve">đường biển</t>
  </si>
  <si>
    <t xml:space="preserve">sea route / maritime</t>
  </si>
  <si>
    <r>
      <rPr>
        <sz val="9"/>
        <color rgb="FF000000"/>
        <rFont val="Noto Sans CJK SC"/>
        <family val="2"/>
      </rPr>
      <t xml:space="preserve">海路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海運</t>
    </r>
  </si>
  <si>
    <t xml:space="preserve">hoi-lou/hoi-wan</t>
  </si>
  <si>
    <t xml:space="preserve">đường bộ</t>
  </si>
  <si>
    <t xml:space="preserve">road / land route</t>
  </si>
  <si>
    <t xml:space="preserve">陸路</t>
  </si>
  <si>
    <t xml:space="preserve">luk-lou</t>
  </si>
  <si>
    <t xml:space="preserve">Sino-Viet: đường bộ</t>
  </si>
  <si>
    <t xml:space="preserve">đường sắt</t>
  </si>
  <si>
    <t xml:space="preserve">railway</t>
  </si>
  <si>
    <t xml:space="preserve">鐵路</t>
  </si>
  <si>
    <t xml:space="preserve">tit-lou</t>
  </si>
  <si>
    <t xml:space="preserve">Sino-Viet: đường sắt</t>
  </si>
  <si>
    <t xml:space="preserve">cảng biển</t>
  </si>
  <si>
    <t xml:space="preserve">seaport</t>
  </si>
  <si>
    <t xml:space="preserve">海港</t>
  </si>
  <si>
    <t xml:space="preserve">hoi-gong</t>
  </si>
  <si>
    <t xml:space="preserve">Sino-Viet: cảng biển</t>
  </si>
  <si>
    <t xml:space="preserve">thông quan</t>
  </si>
  <si>
    <t xml:space="preserve">customs clearance</t>
  </si>
  <si>
    <r>
      <rPr>
        <sz val="9"/>
        <color rgb="FF000000"/>
        <rFont val="Noto Sans CJK SC"/>
        <family val="2"/>
      </rPr>
      <t xml:space="preserve">清關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通關</t>
    </r>
  </si>
  <si>
    <t xml:space="preserve">cing-gwaan/tung-gwaan</t>
  </si>
  <si>
    <t xml:space="preserve">lô hàng</t>
  </si>
  <si>
    <t xml:space="preserve">shipment / consignment</t>
  </si>
  <si>
    <r>
      <rPr>
        <sz val="9"/>
        <color rgb="FF000000"/>
        <rFont val="Noto Sans CJK SC"/>
        <family val="2"/>
      </rPr>
      <t xml:space="preserve">批貨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貨批</t>
    </r>
  </si>
  <si>
    <t xml:space="preserve">paat-fo/fo-paat</t>
  </si>
  <si>
    <t xml:space="preserve">vận đơn</t>
  </si>
  <si>
    <t xml:space="preserve">bill of lading / waybill</t>
  </si>
  <si>
    <r>
      <rPr>
        <sz val="9"/>
        <color rgb="FF000000"/>
        <rFont val="Noto Sans CJK SC"/>
        <family val="2"/>
      </rPr>
      <t xml:space="preserve">提單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運單</t>
    </r>
  </si>
  <si>
    <t xml:space="preserve">tai-daan/wan-daan</t>
  </si>
  <si>
    <t xml:space="preserve">đặt hàng trước</t>
  </si>
  <si>
    <t xml:space="preserve">to pre-order</t>
  </si>
  <si>
    <r>
      <rPr>
        <sz val="9"/>
        <color rgb="FF000000"/>
        <rFont val="Noto Sans CJK SC"/>
        <family val="2"/>
      </rPr>
      <t xml:space="preserve">預訂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預購</t>
    </r>
  </si>
  <si>
    <t xml:space="preserve">jyu-ding/jyu-kau</t>
  </si>
  <si>
    <t xml:space="preserve">trả lại hàng</t>
  </si>
  <si>
    <t xml:space="preserve">to return goods</t>
  </si>
  <si>
    <t xml:space="preserve">退貨</t>
  </si>
  <si>
    <t xml:space="preserve">teoi-fo</t>
  </si>
  <si>
    <t xml:space="preserve">cảm giác</t>
  </si>
  <si>
    <t xml:space="preserve">feeling / sensation</t>
  </si>
  <si>
    <t xml:space="preserve">感覺</t>
  </si>
  <si>
    <t xml:space="preserve">gam-gok</t>
  </si>
  <si>
    <t xml:space="preserve">Sino-Viet: cảm giác</t>
  </si>
  <si>
    <t xml:space="preserve">nội tâm</t>
  </si>
  <si>
    <t xml:space="preserve">inner feelings / introspection</t>
  </si>
  <si>
    <t xml:space="preserve">內心</t>
  </si>
  <si>
    <t xml:space="preserve">Sino-Viet: nội tâm</t>
  </si>
  <si>
    <t xml:space="preserve">bùng phát cảm xúc</t>
  </si>
  <si>
    <t xml:space="preserve">emotional outburst</t>
  </si>
  <si>
    <t xml:space="preserve">情緒爆發</t>
  </si>
  <si>
    <t xml:space="preserve">cing-seoi-baau-faat</t>
  </si>
  <si>
    <t xml:space="preserve">kiềm chế cảm xúc</t>
  </si>
  <si>
    <t xml:space="preserve">to control emotions</t>
  </si>
  <si>
    <t xml:space="preserve">控制情緒</t>
  </si>
  <si>
    <t xml:space="preserve">hung-zai-cing-seoi</t>
  </si>
  <si>
    <t xml:space="preserve">đồng cảm</t>
  </si>
  <si>
    <t xml:space="preserve">empathy / sympathy</t>
  </si>
  <si>
    <r>
      <rPr>
        <sz val="9"/>
        <color rgb="FF000000"/>
        <rFont val="Noto Sans CJK SC"/>
        <family val="2"/>
      </rPr>
      <t xml:space="preserve">同情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共情</t>
    </r>
  </si>
  <si>
    <t xml:space="preserve">tung-cing/gung-cing</t>
  </si>
  <si>
    <t xml:space="preserve">Sino-Viet: đồng cảm</t>
  </si>
  <si>
    <t xml:space="preserve">thấu hiểu</t>
  </si>
  <si>
    <t xml:space="preserve">to deeply understand / empathize</t>
  </si>
  <si>
    <r>
      <rPr>
        <sz val="9"/>
        <color rgb="FF000000"/>
        <rFont val="Noto Sans CJK SC"/>
        <family val="2"/>
      </rPr>
      <t xml:space="preserve">深刻理解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感同身受</t>
    </r>
  </si>
  <si>
    <t xml:space="preserve">sam-hak-lei-gaai</t>
  </si>
  <si>
    <t xml:space="preserve">cảm thông</t>
  </si>
  <si>
    <t xml:space="preserve">to sympathize / understand</t>
  </si>
  <si>
    <r>
      <rPr>
        <sz val="9"/>
        <color rgb="FF000000"/>
        <rFont val="Noto Sans CJK SC"/>
        <family val="2"/>
      </rPr>
      <t xml:space="preserve">體諒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同情</t>
    </r>
  </si>
  <si>
    <t xml:space="preserve">tai-loeng/tung-cing</t>
  </si>
  <si>
    <t xml:space="preserve">vô cảm</t>
  </si>
  <si>
    <t xml:space="preserve">emotionless / numb</t>
  </si>
  <si>
    <r>
      <rPr>
        <sz val="9"/>
        <color rgb="FF000000"/>
        <rFont val="Noto Sans CJK SC"/>
        <family val="2"/>
      </rPr>
      <t xml:space="preserve">麻木不仁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冷漠</t>
    </r>
  </si>
  <si>
    <t xml:space="preserve">maa-muk-bat-jan/laang-mok</t>
  </si>
  <si>
    <t xml:space="preserve">Sino-Viet: vô cảm</t>
  </si>
  <si>
    <t xml:space="preserve">xúc động</t>
  </si>
  <si>
    <t xml:space="preserve">moved / touched (emotionally)</t>
  </si>
  <si>
    <t xml:space="preserve">感動</t>
  </si>
  <si>
    <t xml:space="preserve">gam-dung</t>
  </si>
  <si>
    <t xml:space="preserve">Sino-Viet: xúc động</t>
  </si>
  <si>
    <t xml:space="preserve">cảm kích</t>
  </si>
  <si>
    <t xml:space="preserve">grateful / moved with gratitude</t>
  </si>
  <si>
    <t xml:space="preserve">感激</t>
  </si>
  <si>
    <t xml:space="preserve">gam-gik</t>
  </si>
  <si>
    <t xml:space="preserve">Sino-Viet: cảm kích</t>
  </si>
  <si>
    <t xml:space="preserve">hối hận</t>
  </si>
  <si>
    <t xml:space="preserve">regret / remorse</t>
  </si>
  <si>
    <t xml:space="preserve">後悔</t>
  </si>
  <si>
    <t xml:space="preserve">hau-fui</t>
  </si>
  <si>
    <t xml:space="preserve">Sino-Viet: hối hận</t>
  </si>
  <si>
    <t xml:space="preserve">tiếc nuối</t>
  </si>
  <si>
    <t xml:space="preserve">to feel sorry about / rue</t>
  </si>
  <si>
    <t xml:space="preserve">遺憾</t>
  </si>
  <si>
    <t xml:space="preserve">ji-ham</t>
  </si>
  <si>
    <t xml:space="preserve">tủi thân</t>
  </si>
  <si>
    <t xml:space="preserve">to feel self-pity</t>
  </si>
  <si>
    <r>
      <rPr>
        <sz val="9"/>
        <color rgb="FF000000"/>
        <rFont val="Noto Sans CJK SC"/>
        <family val="2"/>
      </rPr>
      <t xml:space="preserve">自憐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委屈</t>
    </r>
  </si>
  <si>
    <t xml:space="preserve">zi-lin/wai-kut</t>
  </si>
  <si>
    <t xml:space="preserve">ghen tuông</t>
  </si>
  <si>
    <t xml:space="preserve">jealousy (in relationship)</t>
  </si>
  <si>
    <r>
      <rPr>
        <sz val="9"/>
        <color rgb="FF000000"/>
        <rFont val="Noto Sans CJK SC"/>
        <family val="2"/>
      </rPr>
      <t xml:space="preserve">吃醋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嫉妒</t>
    </r>
  </si>
  <si>
    <t xml:space="preserve">sik-cou/zat-dou</t>
  </si>
  <si>
    <t xml:space="preserve">thất tình</t>
  </si>
  <si>
    <t xml:space="preserve">heartbroken / jilted</t>
  </si>
  <si>
    <t xml:space="preserve">失戀</t>
  </si>
  <si>
    <t xml:space="preserve">sat-lyun</t>
  </si>
  <si>
    <t xml:space="preserve">Sino-Viet: thất tình</t>
  </si>
  <si>
    <t xml:space="preserve">si tình</t>
  </si>
  <si>
    <t xml:space="preserve">infatuated / lovesick</t>
  </si>
  <si>
    <t xml:space="preserve">癡情</t>
  </si>
  <si>
    <t xml:space="preserve">ci-cing</t>
  </si>
  <si>
    <t xml:space="preserve">Sino-Viet: si tình</t>
  </si>
  <si>
    <t xml:space="preserve">trân trọng</t>
  </si>
  <si>
    <t xml:space="preserve">to cherish / value deeply</t>
  </si>
  <si>
    <t xml:space="preserve">珍惜</t>
  </si>
  <si>
    <t xml:space="preserve">zan-sik</t>
  </si>
  <si>
    <t xml:space="preserve">quý mến</t>
  </si>
  <si>
    <t xml:space="preserve">to be fond of / cherish</t>
  </si>
  <si>
    <r>
      <rPr>
        <sz val="9"/>
        <color rgb="FF000000"/>
        <rFont val="Noto Sans CJK SC"/>
        <family val="2"/>
      </rPr>
      <t xml:space="preserve">喜愛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珍愛</t>
    </r>
  </si>
  <si>
    <t xml:space="preserve">hei-oi/zan-oi</t>
  </si>
  <si>
    <t xml:space="preserve">chục</t>
  </si>
  <si>
    <t xml:space="preserve">ten (informal)</t>
  </si>
  <si>
    <t xml:space="preserve">trăm ngàn</t>
  </si>
  <si>
    <t xml:space="preserve">hundred thousand</t>
  </si>
  <si>
    <t xml:space="preserve">十萬</t>
  </si>
  <si>
    <t xml:space="preserve">sap-maan</t>
  </si>
  <si>
    <t xml:space="preserve">100,000 VND very common</t>
  </si>
  <si>
    <t xml:space="preserve">một tỷ đồng</t>
  </si>
  <si>
    <t xml:space="preserve">one billion dong</t>
  </si>
  <si>
    <t xml:space="preserve">十億盾</t>
  </si>
  <si>
    <t xml:space="preserve">sap-jik-teon</t>
  </si>
  <si>
    <t xml:space="preserve">nửa triệu</t>
  </si>
  <si>
    <t xml:space="preserve">half a million</t>
  </si>
  <si>
    <t xml:space="preserve">五十萬</t>
  </si>
  <si>
    <t xml:space="preserve">ng-sap-maan</t>
  </si>
  <si>
    <t xml:space="preserve">hơn một triệu</t>
  </si>
  <si>
    <t xml:space="preserve">more than a million</t>
  </si>
  <si>
    <t xml:space="preserve">超過一百萬</t>
  </si>
  <si>
    <t xml:space="preserve">ciu-gwo-jat-baak-maan</t>
  </si>
  <si>
    <t xml:space="preserve">khoảng chừng</t>
  </si>
  <si>
    <t xml:space="preserve">roughly / about (informal)</t>
  </si>
  <si>
    <r>
      <rPr>
        <sz val="9"/>
        <color rgb="FF000000"/>
        <rFont val="Noto Sans CJK SC"/>
        <family val="2"/>
      </rPr>
      <t xml:space="preserve">大概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差不多</t>
    </r>
  </si>
  <si>
    <t xml:space="preserve">daai-koi/caa-bat-do</t>
  </si>
  <si>
    <t xml:space="preserve">gần hai trăm</t>
  </si>
  <si>
    <t xml:space="preserve">close to two hundred</t>
  </si>
  <si>
    <t xml:space="preserve">接近兩百</t>
  </si>
  <si>
    <t xml:space="preserve">zip-kan-loeng-baak</t>
  </si>
  <si>
    <t xml:space="preserve">hàng chục</t>
  </si>
  <si>
    <t xml:space="preserve">tens of (many)</t>
  </si>
  <si>
    <r>
      <rPr>
        <sz val="9"/>
        <color rgb="FF000000"/>
        <rFont val="Noto Sans CJK SC"/>
        <family val="2"/>
      </rPr>
      <t xml:space="preserve">幾十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數十</t>
    </r>
  </si>
  <si>
    <t xml:space="preserve">gei-sap/sou-sap</t>
  </si>
  <si>
    <t xml:space="preserve">hàng trăm</t>
  </si>
  <si>
    <t xml:space="preserve">hundreds of</t>
  </si>
  <si>
    <r>
      <rPr>
        <sz val="9"/>
        <color rgb="FF000000"/>
        <rFont val="Noto Sans CJK SC"/>
        <family val="2"/>
      </rPr>
      <t xml:space="preserve">幾百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數百</t>
    </r>
  </si>
  <si>
    <t xml:space="preserve">gei-baak/sou-baak</t>
  </si>
  <si>
    <t xml:space="preserve">hàng ngàn</t>
  </si>
  <si>
    <t xml:space="preserve">thousands of</t>
  </si>
  <si>
    <r>
      <rPr>
        <sz val="9"/>
        <color rgb="FF000000"/>
        <rFont val="Noto Sans CJK SC"/>
        <family val="2"/>
      </rPr>
      <t xml:space="preserve">幾千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數千</t>
    </r>
  </si>
  <si>
    <t xml:space="preserve">gei-cin/sou-cin</t>
  </si>
  <si>
    <t xml:space="preserve">lần thứ nhất</t>
  </si>
  <si>
    <t xml:space="preserve">the first time</t>
  </si>
  <si>
    <t xml:space="preserve">第一次</t>
  </si>
  <si>
    <t xml:space="preserve">dai-jat-ci</t>
  </si>
  <si>
    <t xml:space="preserve">lần đầu tiên</t>
  </si>
  <si>
    <t xml:space="preserve">for the first time</t>
  </si>
  <si>
    <r>
      <rPr>
        <sz val="9"/>
        <color rgb="FF000000"/>
        <rFont val="Noto Sans CJK SC"/>
        <family val="2"/>
      </rPr>
      <t xml:space="preserve">第一次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首次</t>
    </r>
  </si>
  <si>
    <t xml:space="preserve">dai-jat-ci/sau-ci</t>
  </si>
  <si>
    <t xml:space="preserve">lần cuối cùng</t>
  </si>
  <si>
    <t xml:space="preserve">the last time</t>
  </si>
  <si>
    <t xml:space="preserve">最後一次</t>
  </si>
  <si>
    <t xml:space="preserve">zeoi-hau-jat-ci</t>
  </si>
  <si>
    <t xml:space="preserve">mỗi lần</t>
  </si>
  <si>
    <t xml:space="preserve">each time / every time</t>
  </si>
  <si>
    <t xml:space="preserve">每次</t>
  </si>
  <si>
    <t xml:space="preserve">mui-ci</t>
  </si>
  <si>
    <t xml:space="preserve">nhiều lần</t>
  </si>
  <si>
    <t xml:space="preserve">many times</t>
  </si>
  <si>
    <t xml:space="preserve">很多次</t>
  </si>
  <si>
    <t xml:space="preserve">hou-do-ci</t>
  </si>
  <si>
    <t xml:space="preserve">nhân đôi</t>
  </si>
  <si>
    <t xml:space="preserve">to double</t>
  </si>
  <si>
    <r>
      <rPr>
        <sz val="9"/>
        <color rgb="FF000000"/>
        <rFont val="Noto Sans CJK SC"/>
        <family val="2"/>
      </rPr>
      <t xml:space="preserve">加倍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翻倍</t>
    </r>
  </si>
  <si>
    <t xml:space="preserve">gaa-booi/faan-booi</t>
  </si>
  <si>
    <t xml:space="preserve">giảm một nửa</t>
  </si>
  <si>
    <t xml:space="preserve">to halve / cut in half</t>
  </si>
  <si>
    <t xml:space="preserve">減半</t>
  </si>
  <si>
    <t xml:space="preserve">gaam-bun</t>
  </si>
  <si>
    <t xml:space="preserve">xấp xỉ</t>
  </si>
  <si>
    <t xml:space="preserve">approximately / close to</t>
  </si>
  <si>
    <r>
      <rPr>
        <sz val="9"/>
        <color rgb="FF000000"/>
        <rFont val="Noto Sans CJK SC"/>
        <family val="2"/>
      </rPr>
      <t xml:space="preserve">大約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接近</t>
    </r>
  </si>
  <si>
    <t xml:space="preserve">daai-joek/zip-kan</t>
  </si>
  <si>
    <t xml:space="preserve">nhìn lại</t>
  </si>
  <si>
    <t xml:space="preserve">to look back / review</t>
  </si>
  <si>
    <t xml:space="preserve">回顧</t>
  </si>
  <si>
    <t xml:space="preserve">wui-gu</t>
  </si>
  <si>
    <t xml:space="preserve">Sino-Viet: nhìn lại</t>
  </si>
  <si>
    <t xml:space="preserve">hướng tới</t>
  </si>
  <si>
    <t xml:space="preserve">towards / aimed at</t>
  </si>
  <si>
    <r>
      <rPr>
        <sz val="9"/>
        <color rgb="FF000000"/>
        <rFont val="Noto Sans CJK SC"/>
        <family val="2"/>
      </rPr>
      <t xml:space="preserve">朝向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邁向</t>
    </r>
  </si>
  <si>
    <t xml:space="preserve">ziu-hoeng/maai-hoeng</t>
  </si>
  <si>
    <t xml:space="preserve">phải làm sao?</t>
  </si>
  <si>
    <t xml:space="preserve">what should I do?</t>
  </si>
  <si>
    <r>
      <rPr>
        <sz val="9"/>
        <color rgb="FF000000"/>
        <rFont val="Noto Sans CJK SC"/>
        <family val="2"/>
      </rPr>
      <t xml:space="preserve">怎麼辦</t>
    </r>
    <r>
      <rPr>
        <sz val="9"/>
        <color rgb="FF000000"/>
        <rFont val="Arial"/>
        <family val="0"/>
        <charset val="1"/>
      </rPr>
      <t xml:space="preserve">?</t>
    </r>
  </si>
  <si>
    <t xml:space="preserve">dim-gaa</t>
  </si>
  <si>
    <t xml:space="preserve">very common expression</t>
  </si>
  <si>
    <t xml:space="preserve">cần phải</t>
  </si>
  <si>
    <t xml:space="preserve">must / need to</t>
  </si>
  <si>
    <r>
      <rPr>
        <sz val="9"/>
        <color rgb="FF000000"/>
        <rFont val="Noto Sans CJK SC"/>
        <family val="2"/>
      </rPr>
      <t xml:space="preserve">必須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需要</t>
    </r>
  </si>
  <si>
    <t xml:space="preserve">bit-seoi/seoi-jiu</t>
  </si>
  <si>
    <t xml:space="preserve">không cần</t>
  </si>
  <si>
    <t xml:space="preserve">no need / don't need to</t>
  </si>
  <si>
    <r>
      <rPr>
        <sz val="9"/>
        <color rgb="FF000000"/>
        <rFont val="Noto Sans CJK SC"/>
        <family val="2"/>
      </rPr>
      <t xml:space="preserve">不需要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不用</t>
    </r>
  </si>
  <si>
    <t xml:space="preserve">bat-seoi-jiu/bat-jung</t>
  </si>
  <si>
    <t xml:space="preserve">có thể</t>
  </si>
  <si>
    <t xml:space="preserve">can / may / possible</t>
  </si>
  <si>
    <r>
      <rPr>
        <sz val="9"/>
        <color rgb="FF000000"/>
        <rFont val="Noto Sans CJK SC"/>
        <family val="2"/>
      </rPr>
      <t xml:space="preserve">可以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能夠</t>
    </r>
  </si>
  <si>
    <t xml:space="preserve">ho-ji/nang-gau</t>
  </si>
  <si>
    <t xml:space="preserve">không thể</t>
  </si>
  <si>
    <t xml:space="preserve">cannot / impossible</t>
  </si>
  <si>
    <r>
      <rPr>
        <sz val="9"/>
        <color rgb="FF000000"/>
        <rFont val="Noto Sans CJK SC"/>
        <family val="2"/>
      </rPr>
      <t xml:space="preserve">不能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不可以</t>
    </r>
  </si>
  <si>
    <t xml:space="preserve">bat-nang/bat-ho-ji</t>
  </si>
  <si>
    <t xml:space="preserve">nên làm</t>
  </si>
  <si>
    <t xml:space="preserve">should do</t>
  </si>
  <si>
    <t xml:space="preserve">應該做</t>
  </si>
  <si>
    <t xml:space="preserve">jing-goi-zou</t>
  </si>
  <si>
    <t xml:space="preserve">không nên</t>
  </si>
  <si>
    <t xml:space="preserve">should not</t>
  </si>
  <si>
    <t xml:space="preserve">不應該</t>
  </si>
  <si>
    <t xml:space="preserve">bat-jing-goi</t>
  </si>
  <si>
    <t xml:space="preserve">bắt buộc phải</t>
  </si>
  <si>
    <t xml:space="preserve">must / obligated to</t>
  </si>
  <si>
    <r>
      <rPr>
        <sz val="9"/>
        <color rgb="FF000000"/>
        <rFont val="Noto Sans CJK SC"/>
        <family val="2"/>
      </rPr>
      <t xml:space="preserve">必須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強制</t>
    </r>
  </si>
  <si>
    <t xml:space="preserve">bit-seoi/koeng-zai</t>
  </si>
  <si>
    <t xml:space="preserve">tự do làm</t>
  </si>
  <si>
    <t xml:space="preserve">free to do / can freely</t>
  </si>
  <si>
    <r>
      <rPr>
        <sz val="9"/>
        <color rgb="FF000000"/>
        <rFont val="Noto Sans CJK SC"/>
        <family val="2"/>
      </rPr>
      <t xml:space="preserve">自由做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隨意</t>
    </r>
  </si>
  <si>
    <t xml:space="preserve">zi-jau-zou/ceoi-ji</t>
  </si>
  <si>
    <t xml:space="preserve">chỉ cần</t>
  </si>
  <si>
    <t xml:space="preserve">all you need / just need to</t>
  </si>
  <si>
    <t xml:space="preserve">只需要</t>
  </si>
  <si>
    <t xml:space="preserve">zi-seoi-jiu</t>
  </si>
  <si>
    <t xml:space="preserve">miễn là</t>
  </si>
  <si>
    <t xml:space="preserve">as long as / provided that</t>
  </si>
  <si>
    <r>
      <rPr>
        <sz val="9"/>
        <color rgb="FF000000"/>
        <rFont val="Noto Sans CJK SC"/>
        <family val="2"/>
      </rPr>
      <t xml:space="preserve">只要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只需</t>
    </r>
  </si>
  <si>
    <t xml:space="preserve">zi-jiu/zi-seoi</t>
  </si>
  <si>
    <t xml:space="preserve">hóa ra</t>
  </si>
  <si>
    <t xml:space="preserve">it turns out / turns out that</t>
  </si>
  <si>
    <r>
      <rPr>
        <sz val="9"/>
        <color rgb="FF000000"/>
        <rFont val="Noto Sans CJK SC"/>
        <family val="2"/>
      </rPr>
      <t xml:space="preserve">原來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結果</t>
    </r>
  </si>
  <si>
    <t xml:space="preserve">jyun-loi/git-gwo</t>
  </si>
  <si>
    <t xml:space="preserve">thế là</t>
  </si>
  <si>
    <t xml:space="preserve">so then / and then</t>
  </si>
  <si>
    <r>
      <rPr>
        <sz val="9"/>
        <color rgb="FF000000"/>
        <rFont val="Noto Sans CJK SC"/>
        <family val="2"/>
      </rPr>
      <t xml:space="preserve">這樣的話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於是</t>
    </r>
  </si>
  <si>
    <t xml:space="preserve">ni-joeng-dik-waa/jyu-si</t>
  </si>
  <si>
    <t xml:space="preserve">đúng như vậy</t>
  </si>
  <si>
    <t xml:space="preserve">exactly / that's right</t>
  </si>
  <si>
    <r>
      <rPr>
        <sz val="9"/>
        <color rgb="FF000000"/>
        <rFont val="Noto Sans CJK SC"/>
        <family val="2"/>
      </rPr>
      <t xml:space="preserve">正是如此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確實如此</t>
    </r>
  </si>
  <si>
    <t xml:space="preserve">zing-si-jyu-ci/kok-sat-jyu-ci</t>
  </si>
  <si>
    <t xml:space="preserve">có nghĩa là</t>
  </si>
  <si>
    <t xml:space="preserve">means / that means</t>
  </si>
  <si>
    <r>
      <rPr>
        <sz val="9"/>
        <color rgb="FF000000"/>
        <rFont val="Noto Sans CJK SC"/>
        <family val="2"/>
      </rPr>
      <t xml:space="preserve">意思是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也就是說</t>
    </r>
  </si>
  <si>
    <t xml:space="preserve">ji-si-si/je-zau-si-syut</t>
  </si>
  <si>
    <t xml:space="preserve">chẳng hạn như</t>
  </si>
  <si>
    <t xml:space="preserve">for instance / such as</t>
  </si>
  <si>
    <r>
      <rPr>
        <sz val="9"/>
        <color rgb="FF000000"/>
        <rFont val="Noto Sans CJK SC"/>
        <family val="2"/>
      </rPr>
      <t xml:space="preserve">例如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比如說</t>
    </r>
  </si>
  <si>
    <t xml:space="preserve">lai-jyu/bei-jyu-syut</t>
  </si>
  <si>
    <t xml:space="preserve">trong khi</t>
  </si>
  <si>
    <t xml:space="preserve">while / during</t>
  </si>
  <si>
    <r>
      <rPr>
        <sz val="9"/>
        <color rgb="FF000000"/>
        <rFont val="Noto Sans CJK SC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期間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當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時</t>
    </r>
  </si>
  <si>
    <t xml:space="preserve">zoi...kei-gaan/dong...si</t>
  </si>
  <si>
    <t xml:space="preserve">cùng lúc đó</t>
  </si>
  <si>
    <t xml:space="preserve">at the same time</t>
  </si>
  <si>
    <r>
      <rPr>
        <sz val="9"/>
        <color rgb="FF000000"/>
        <rFont val="Noto Sans CJK SC"/>
        <family val="2"/>
      </rPr>
      <t xml:space="preserve">同時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與此同時</t>
    </r>
  </si>
  <si>
    <t xml:space="preserve">tung-si/jyu-ci-tung-si</t>
  </si>
  <si>
    <t xml:space="preserve">từ đó trở đi</t>
  </si>
  <si>
    <t xml:space="preserve">from then on</t>
  </si>
  <si>
    <r>
      <rPr>
        <sz val="9"/>
        <color rgb="FF000000"/>
        <rFont val="Noto Sans CJK SC"/>
        <family val="2"/>
      </rPr>
      <t xml:space="preserve">從那時起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此後</t>
    </r>
  </si>
  <si>
    <t xml:space="preserve">cung-go-si-hei/ci-hau</t>
  </si>
  <si>
    <t xml:space="preserve">cho đến khi</t>
  </si>
  <si>
    <t xml:space="preserve">until / up until</t>
  </si>
  <si>
    <t xml:space="preserve">直到</t>
  </si>
  <si>
    <t xml:space="preserve">zik-dou</t>
  </si>
  <si>
    <t xml:space="preserve">kể từ</t>
  </si>
  <si>
    <t xml:space="preserve">since / from (time)</t>
  </si>
  <si>
    <r>
      <rPr>
        <sz val="9"/>
        <color rgb="FF000000"/>
        <rFont val="Noto Sans CJK SC"/>
        <family val="2"/>
      </rPr>
      <t xml:space="preserve">自從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從</t>
    </r>
  </si>
  <si>
    <t xml:space="preserve">zi-cung/cung</t>
  </si>
  <si>
    <t xml:space="preserve">trong suốt</t>
  </si>
  <si>
    <t xml:space="preserve">throughout / during the entire</t>
  </si>
  <si>
    <r>
      <rPr>
        <sz val="9"/>
        <color rgb="FF000000"/>
        <rFont val="Noto Sans CJK SC"/>
        <family val="2"/>
      </rPr>
      <t xml:space="preserve">在整個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期間</t>
    </r>
  </si>
  <si>
    <t xml:space="preserve">zoi-zing-go...kei-gaan</t>
  </si>
  <si>
    <t xml:space="preserve">cuối cùng thì</t>
  </si>
  <si>
    <t xml:space="preserve">in the end / eventually</t>
  </si>
  <si>
    <t xml:space="preserve">最終</t>
  </si>
  <si>
    <t xml:space="preserve">zeoi-zung</t>
  </si>
  <si>
    <t xml:space="preserve">thỉnh thoảng</t>
  </si>
  <si>
    <t xml:space="preserve">occasionally / from time to time</t>
  </si>
  <si>
    <r>
      <rPr>
        <sz val="9"/>
        <color rgb="FF000000"/>
        <rFont val="Noto Sans CJK SC"/>
        <family val="2"/>
      </rPr>
      <t xml:space="preserve">偶爾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有時</t>
    </r>
  </si>
  <si>
    <t xml:space="preserve">ngau-ji/jau-si</t>
  </si>
  <si>
    <t xml:space="preserve">mỗi khi</t>
  </si>
  <si>
    <t xml:space="preserve">every time / whenever</t>
  </si>
  <si>
    <r>
      <rPr>
        <sz val="9"/>
        <color rgb="FF000000"/>
        <rFont val="Noto Sans CJK SC"/>
        <family val="2"/>
      </rPr>
      <t xml:space="preserve">每當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每次</t>
    </r>
  </si>
  <si>
    <t xml:space="preserve">mui-dong/mui-ci</t>
  </si>
  <si>
    <t xml:space="preserve">Sino-Viet: đồng nghiệp</t>
  </si>
  <si>
    <t xml:space="preserve">cấp trên</t>
  </si>
  <si>
    <t xml:space="preserve">superior / boss</t>
  </si>
  <si>
    <r>
      <rPr>
        <sz val="9"/>
        <color rgb="FF000000"/>
        <rFont val="Noto Sans CJK SC"/>
        <family val="2"/>
      </rPr>
      <t xml:space="preserve">上司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上級</t>
    </r>
  </si>
  <si>
    <t xml:space="preserve">soeng-si/soeng-kap</t>
  </si>
  <si>
    <t xml:space="preserve">cấp dưới</t>
  </si>
  <si>
    <t xml:space="preserve">subordinate</t>
  </si>
  <si>
    <r>
      <rPr>
        <sz val="9"/>
        <color rgb="FF000000"/>
        <rFont val="Noto Sans CJK SC"/>
        <family val="2"/>
      </rPr>
      <t xml:space="preserve">下屬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下級</t>
    </r>
  </si>
  <si>
    <t xml:space="preserve">haa-suk/haa-kap</t>
  </si>
  <si>
    <t xml:space="preserve">ngang cấp</t>
  </si>
  <si>
    <t xml:space="preserve">peer / same level</t>
  </si>
  <si>
    <t xml:space="preserve">同級</t>
  </si>
  <si>
    <t xml:space="preserve">tung-kap</t>
  </si>
  <si>
    <t xml:space="preserve">bộ phận</t>
  </si>
  <si>
    <t xml:space="preserve">department</t>
  </si>
  <si>
    <t xml:space="preserve">部門</t>
  </si>
  <si>
    <t xml:space="preserve">bou-mun</t>
  </si>
  <si>
    <t xml:space="preserve">Sino-Viet: bộ phận</t>
  </si>
  <si>
    <t xml:space="preserve">biên bản họp</t>
  </si>
  <si>
    <t xml:space="preserve">meeting minutes</t>
  </si>
  <si>
    <t xml:space="preserve">會議記錄</t>
  </si>
  <si>
    <t xml:space="preserve">wui-ji-gei-luk</t>
  </si>
  <si>
    <t xml:space="preserve">chương trình nghị sự</t>
  </si>
  <si>
    <t xml:space="preserve">agenda</t>
  </si>
  <si>
    <t xml:space="preserve">議程</t>
  </si>
  <si>
    <t xml:space="preserve">ji-cing</t>
  </si>
  <si>
    <t xml:space="preserve">thời hạn / deadline</t>
  </si>
  <si>
    <t xml:space="preserve">nộp báo cáo</t>
  </si>
  <si>
    <t xml:space="preserve">to submit a report</t>
  </si>
  <si>
    <t xml:space="preserve">提交報告</t>
  </si>
  <si>
    <t xml:space="preserve">tai-gaau-bou-gou</t>
  </si>
  <si>
    <t xml:space="preserve">xem xét</t>
  </si>
  <si>
    <t xml:space="preserve">to review / consider</t>
  </si>
  <si>
    <r>
      <rPr>
        <sz val="9"/>
        <color rgb="FF000000"/>
        <rFont val="Noto Sans CJK SC"/>
        <family val="2"/>
      </rPr>
      <t xml:space="preserve">審查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考慮</t>
    </r>
  </si>
  <si>
    <t xml:space="preserve">sam-caa/haau-leoi</t>
  </si>
  <si>
    <t xml:space="preserve">Sino-Viet: xem xét</t>
  </si>
  <si>
    <t xml:space="preserve">phê duyệt</t>
  </si>
  <si>
    <t xml:space="preserve">to approve</t>
  </si>
  <si>
    <t xml:space="preserve">批准</t>
  </si>
  <si>
    <t xml:space="preserve">paat-zeon</t>
  </si>
  <si>
    <t xml:space="preserve">Sino-Viet: phê duyệt</t>
  </si>
  <si>
    <t xml:space="preserve">từ chối đề xuất</t>
  </si>
  <si>
    <t xml:space="preserve">to reject a proposal</t>
  </si>
  <si>
    <t xml:space="preserve">拒絕提案</t>
  </si>
  <si>
    <t xml:space="preserve">keoi-zyut-tai-on</t>
  </si>
  <si>
    <t xml:space="preserve">làm thêm giờ</t>
  </si>
  <si>
    <t xml:space="preserve">to work overtime</t>
  </si>
  <si>
    <t xml:space="preserve">加班</t>
  </si>
  <si>
    <t xml:space="preserve">gaa-baan</t>
  </si>
  <si>
    <t xml:space="preserve">nghỉ phép</t>
  </si>
  <si>
    <t xml:space="preserve">to take leave / day off</t>
  </si>
  <si>
    <r>
      <rPr>
        <sz val="9"/>
        <color rgb="FF000000"/>
        <rFont val="Noto Sans CJK SC"/>
        <family val="2"/>
      </rPr>
      <t xml:space="preserve">請假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放假</t>
    </r>
  </si>
  <si>
    <t xml:space="preserve">cing-gaa/fong-gaa</t>
  </si>
  <si>
    <t xml:space="preserve">to get promoted</t>
  </si>
  <si>
    <t xml:space="preserve">升職</t>
  </si>
  <si>
    <t xml:space="preserve">sing-zik</t>
  </si>
  <si>
    <t xml:space="preserve">Sino-Viet: thăng chức</t>
  </si>
  <si>
    <t xml:space="preserve">giáng chức</t>
  </si>
  <si>
    <t xml:space="preserve">to be demoted</t>
  </si>
  <si>
    <t xml:space="preserve">降職</t>
  </si>
  <si>
    <t xml:space="preserve">gong-zik</t>
  </si>
  <si>
    <t xml:space="preserve">Sino-Viet: giáng chức</t>
  </si>
  <si>
    <t xml:space="preserve">sa thải</t>
  </si>
  <si>
    <t xml:space="preserve">to fire / dismiss</t>
  </si>
  <si>
    <r>
      <rPr>
        <sz val="9"/>
        <color rgb="FF000000"/>
        <rFont val="Noto Sans CJK SC"/>
        <family val="2"/>
      </rPr>
      <t xml:space="preserve">解僱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炒魷魚</t>
    </r>
  </si>
  <si>
    <t xml:space="preserve">gaai-gu/caau-jau-jyu</t>
  </si>
  <si>
    <t xml:space="preserve">to resign / quit</t>
  </si>
  <si>
    <t xml:space="preserve">Sino-Viet: nghỉ việc</t>
  </si>
  <si>
    <t xml:space="preserve">tuyển dụng</t>
  </si>
  <si>
    <t xml:space="preserve">to recruit / hire</t>
  </si>
  <si>
    <t xml:space="preserve">招聘</t>
  </si>
  <si>
    <t xml:space="preserve">ziu-ping</t>
  </si>
  <si>
    <t xml:space="preserve">Sino-Viet: tuyển dụng</t>
  </si>
  <si>
    <t xml:space="preserve">mặc cả</t>
  </si>
  <si>
    <t xml:space="preserve">to bargain / haggle</t>
  </si>
  <si>
    <r>
      <rPr>
        <sz val="9"/>
        <color rgb="FF000000"/>
        <rFont val="Noto Sans CJK SC"/>
        <family val="2"/>
      </rPr>
      <t xml:space="preserve">講價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殺價</t>
    </r>
  </si>
  <si>
    <t xml:space="preserve">gong-gaa/saat-gaa</t>
  </si>
  <si>
    <t xml:space="preserve">giá gốc</t>
  </si>
  <si>
    <t xml:space="preserve">original price</t>
  </si>
  <si>
    <t xml:space="preserve">原價</t>
  </si>
  <si>
    <t xml:space="preserve">jyun-gaa</t>
  </si>
  <si>
    <t xml:space="preserve">giá niêm yết</t>
  </si>
  <si>
    <t xml:space="preserve">listed price / sticker price</t>
  </si>
  <si>
    <t xml:space="preserve">標價</t>
  </si>
  <si>
    <t xml:space="preserve">biu-gaa</t>
  </si>
  <si>
    <t xml:space="preserve">discount / price reduction</t>
  </si>
  <si>
    <r>
      <rPr>
        <sz val="9"/>
        <color rgb="FF000000"/>
        <rFont val="Noto Sans CJK SC"/>
        <family val="2"/>
      </rPr>
      <t xml:space="preserve">減價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打折</t>
    </r>
  </si>
  <si>
    <t xml:space="preserve">gaam-gaa/daa-zit</t>
  </si>
  <si>
    <t xml:space="preserve">đồng giá</t>
  </si>
  <si>
    <t xml:space="preserve">fixed price / flat price</t>
  </si>
  <si>
    <t xml:space="preserve">同一價格</t>
  </si>
  <si>
    <t xml:space="preserve">tung-jat-gaa-gaak</t>
  </si>
  <si>
    <t xml:space="preserve">mua số lượng lớn</t>
  </si>
  <si>
    <t xml:space="preserve">to buy in bulk</t>
  </si>
  <si>
    <t xml:space="preserve">批量購買</t>
  </si>
  <si>
    <t xml:space="preserve">paat-loeng-kau-maai</t>
  </si>
  <si>
    <t xml:space="preserve">hàng tồn kho</t>
  </si>
  <si>
    <t xml:space="preserve">stock / inventory</t>
  </si>
  <si>
    <t xml:space="preserve">庫存</t>
  </si>
  <si>
    <t xml:space="preserve">fu-cyun</t>
  </si>
  <si>
    <t xml:space="preserve">hàng hết</t>
  </si>
  <si>
    <t xml:space="preserve">out of stock / sold out</t>
  </si>
  <si>
    <r>
      <rPr>
        <sz val="9"/>
        <color rgb="FF000000"/>
        <rFont val="Noto Sans CJK SC"/>
        <family val="2"/>
      </rPr>
      <t xml:space="preserve">缺貨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售罄</t>
    </r>
  </si>
  <si>
    <t xml:space="preserve">kyut-fo/sau-king</t>
  </si>
  <si>
    <t xml:space="preserve">đặt hàng</t>
  </si>
  <si>
    <t xml:space="preserve">to place an order</t>
  </si>
  <si>
    <t xml:space="preserve">下訂單</t>
  </si>
  <si>
    <t xml:space="preserve">haa-ding-daan</t>
  </si>
  <si>
    <t xml:space="preserve">đổi trả</t>
  </si>
  <si>
    <t xml:space="preserve">exchange / return</t>
  </si>
  <si>
    <t xml:space="preserve">退換</t>
  </si>
  <si>
    <t xml:space="preserve">teoi-wun</t>
  </si>
  <si>
    <t xml:space="preserve">bảo hành</t>
  </si>
  <si>
    <t xml:space="preserve">warranty / guarantee</t>
  </si>
  <si>
    <r>
      <rPr>
        <sz val="9"/>
        <color rgb="FF000000"/>
        <rFont val="Noto Sans CJK SC"/>
        <family val="2"/>
      </rPr>
      <t xml:space="preserve">保養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保修</t>
    </r>
  </si>
  <si>
    <t xml:space="preserve">bou-joeng/bou-sau</t>
  </si>
  <si>
    <t xml:space="preserve">hóa đơn VAT</t>
  </si>
  <si>
    <t xml:space="preserve">VAT receipt</t>
  </si>
  <si>
    <t xml:space="preserve">增值稅發票</t>
  </si>
  <si>
    <t xml:space="preserve">zang-zik-seoi-faat-piu</t>
  </si>
  <si>
    <t xml:space="preserve">quét mã QR</t>
  </si>
  <si>
    <t xml:space="preserve">to scan QR code</t>
  </si>
  <si>
    <r>
      <rPr>
        <sz val="9"/>
        <color rgb="FF000000"/>
        <rFont val="Noto Sans CJK SC"/>
        <family val="2"/>
      </rPr>
      <t xml:space="preserve">掃</t>
    </r>
    <r>
      <rPr>
        <sz val="9"/>
        <color rgb="FF000000"/>
        <rFont val="Arial"/>
        <family val="0"/>
        <charset val="1"/>
      </rPr>
      <t xml:space="preserve">QR</t>
    </r>
    <r>
      <rPr>
        <sz val="9"/>
        <color rgb="FF000000"/>
        <rFont val="Noto Sans CJK SC"/>
        <family val="2"/>
      </rPr>
      <t xml:space="preserve">碼</t>
    </r>
  </si>
  <si>
    <t xml:space="preserve">sou-QR-maa</t>
  </si>
  <si>
    <t xml:space="preserve">thanh toán không tiền mặt</t>
  </si>
  <si>
    <t xml:space="preserve">cashless payment</t>
  </si>
  <si>
    <t xml:space="preserve">無現金支付</t>
  </si>
  <si>
    <t xml:space="preserve">mou-jin-gam-zi-fu</t>
  </si>
  <si>
    <t xml:space="preserve">ví điện tử</t>
  </si>
  <si>
    <t xml:space="preserve">e-wallet</t>
  </si>
  <si>
    <t xml:space="preserve">電子錢包</t>
  </si>
  <si>
    <t xml:space="preserve">din-zi-cin-baau</t>
  </si>
  <si>
    <t xml:space="preserve">MoMo, ZaloPay popular in VN</t>
  </si>
  <si>
    <t xml:space="preserve">Zalo</t>
  </si>
  <si>
    <t xml:space="preserve">Zalo (Vietnamese messaging app)</t>
  </si>
  <si>
    <r>
      <rPr>
        <sz val="9"/>
        <color rgb="FF000000"/>
        <rFont val="Noto Sans CJK SC"/>
        <family val="2"/>
      </rPr>
      <t xml:space="preserve">越南版</t>
    </r>
    <r>
      <rPr>
        <sz val="9"/>
        <color rgb="FF000000"/>
        <rFont val="Arial"/>
        <family val="0"/>
        <charset val="1"/>
      </rPr>
      <t xml:space="preserve">WhatsApp</t>
    </r>
  </si>
  <si>
    <t xml:space="preserve">jyut-naam-baan-WhatsApp</t>
  </si>
  <si>
    <t xml:space="preserve">most used messaging app in VN</t>
  </si>
  <si>
    <t xml:space="preserve">MoMo</t>
  </si>
  <si>
    <t xml:space="preserve">MoMo (e-wallet)</t>
  </si>
  <si>
    <r>
      <rPr>
        <sz val="9"/>
        <color rgb="FF000000"/>
        <rFont val="Arial"/>
        <family val="0"/>
        <charset val="1"/>
      </rPr>
      <t xml:space="preserve">MoMo</t>
    </r>
    <r>
      <rPr>
        <sz val="9"/>
        <color rgb="FF000000"/>
        <rFont val="Noto Sans CJK SC"/>
        <family val="2"/>
      </rPr>
      <t xml:space="preserve">電子錢包</t>
    </r>
  </si>
  <si>
    <t xml:space="preserve">MoMo-din-zi-cin-baau</t>
  </si>
  <si>
    <t xml:space="preserve">leading e-wallet in Vietnam</t>
  </si>
  <si>
    <t xml:space="preserve">Shopee</t>
  </si>
  <si>
    <t xml:space="preserve">Shopee (e-commerce)</t>
  </si>
  <si>
    <t xml:space="preserve">蝦皮購物</t>
  </si>
  <si>
    <t xml:space="preserve">haa-pei-kau-mat</t>
  </si>
  <si>
    <t xml:space="preserve">dominant e-commerce in SEA</t>
  </si>
  <si>
    <t xml:space="preserve">Lazada</t>
  </si>
  <si>
    <t xml:space="preserve">Lazada (e-commerce)</t>
  </si>
  <si>
    <t xml:space="preserve">來贊達購物</t>
  </si>
  <si>
    <t xml:space="preserve">loi-zaan-daat-kau-mat</t>
  </si>
  <si>
    <t xml:space="preserve">Tiki</t>
  </si>
  <si>
    <t xml:space="preserve">Tiki (Vietnamese e-commerce)</t>
  </si>
  <si>
    <t xml:space="preserve">越南本地購物平台</t>
  </si>
  <si>
    <t xml:space="preserve">jyut-naam-bun-dei-kau-mat-ping-toi</t>
  </si>
  <si>
    <t xml:space="preserve">đặt xe Grab</t>
  </si>
  <si>
    <t xml:space="preserve">to book a Grab ride</t>
  </si>
  <si>
    <r>
      <rPr>
        <sz val="9"/>
        <color rgb="FF000000"/>
        <rFont val="Noto Sans CJK SC"/>
        <family val="2"/>
      </rPr>
      <t xml:space="preserve">叫</t>
    </r>
    <r>
      <rPr>
        <sz val="9"/>
        <color rgb="FF000000"/>
        <rFont val="Arial"/>
        <family val="0"/>
        <charset val="1"/>
      </rPr>
      <t xml:space="preserve">Grab</t>
    </r>
    <r>
      <rPr>
        <sz val="9"/>
        <color rgb="FF000000"/>
        <rFont val="Noto Sans CJK SC"/>
        <family val="2"/>
      </rPr>
      <t xml:space="preserve">車</t>
    </r>
  </si>
  <si>
    <t xml:space="preserve">giu-Grab-ce</t>
  </si>
  <si>
    <t xml:space="preserve">giao đồ ăn</t>
  </si>
  <si>
    <t xml:space="preserve">food delivery</t>
  </si>
  <si>
    <t xml:space="preserve">外賣送餐</t>
  </si>
  <si>
    <t xml:space="preserve">ngoi-maai-sung-caan</t>
  </si>
  <si>
    <t xml:space="preserve">thanh toán qua app</t>
  </si>
  <si>
    <t xml:space="preserve">to pay via app</t>
  </si>
  <si>
    <r>
      <rPr>
        <sz val="9"/>
        <color rgb="FF000000"/>
        <rFont val="Noto Sans CJK SC"/>
        <family val="2"/>
      </rPr>
      <t xml:space="preserve">用</t>
    </r>
    <r>
      <rPr>
        <sz val="9"/>
        <color rgb="FF000000"/>
        <rFont val="Arial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付款</t>
    </r>
  </si>
  <si>
    <t xml:space="preserve">jung-App-fu-fun</t>
  </si>
  <si>
    <t xml:space="preserve">mua online</t>
  </si>
  <si>
    <t xml:space="preserve">to buy online</t>
  </si>
  <si>
    <t xml:space="preserve">網購</t>
  </si>
  <si>
    <t xml:space="preserve">livestream bán hàng</t>
  </si>
  <si>
    <t xml:space="preserve">live selling / livestream commerce</t>
  </si>
  <si>
    <t xml:space="preserve">直播帶貨</t>
  </si>
  <si>
    <t xml:space="preserve">zik-bo-daai-fo</t>
  </si>
  <si>
    <t xml:space="preserve">huge in Vietnam</t>
  </si>
  <si>
    <t xml:space="preserve">feedback / đánh giá sản phẩm</t>
  </si>
  <si>
    <t xml:space="preserve">product review</t>
  </si>
  <si>
    <t xml:space="preserve">產品評價</t>
  </si>
  <si>
    <t xml:space="preserve">caan-ban-ping-gaa</t>
  </si>
  <si>
    <t xml:space="preserve">mã giảm giá / voucher</t>
  </si>
  <si>
    <t xml:space="preserve">discount code / voucher</t>
  </si>
  <si>
    <r>
      <rPr>
        <sz val="9"/>
        <color rgb="FF000000"/>
        <rFont val="Noto Sans CJK SC"/>
        <family val="2"/>
      </rPr>
      <t xml:space="preserve">優惠券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折扣碼</t>
    </r>
  </si>
  <si>
    <t xml:space="preserve">jau-wai-gyun/zit-kau-maa</t>
  </si>
  <si>
    <t xml:space="preserve">tài khoản ngân hàng</t>
  </si>
  <si>
    <t xml:space="preserve">bank account</t>
  </si>
  <si>
    <t xml:space="preserve">銀行帳戶</t>
  </si>
  <si>
    <t xml:space="preserve">ngan-hong-zoeng-wu</t>
  </si>
  <si>
    <t xml:space="preserve">thẻ ATM</t>
  </si>
  <si>
    <t xml:space="preserve">ATM card / debit card</t>
  </si>
  <si>
    <r>
      <rPr>
        <sz val="9"/>
        <color rgb="FF000000"/>
        <rFont val="Arial"/>
        <family val="0"/>
        <charset val="1"/>
      </rPr>
      <t xml:space="preserve">ATM</t>
    </r>
    <r>
      <rPr>
        <sz val="9"/>
        <color rgb="FF000000"/>
        <rFont val="Noto Sans CJK SC"/>
        <family val="2"/>
      </rPr>
      <t xml:space="preserve">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提款卡</t>
    </r>
  </si>
  <si>
    <t xml:space="preserve">ATM-kaat/tai-fun-kaat</t>
  </si>
  <si>
    <t xml:space="preserve">rút tiền</t>
  </si>
  <si>
    <t xml:space="preserve">to withdraw money</t>
  </si>
  <si>
    <r>
      <rPr>
        <sz val="9"/>
        <color rgb="FF000000"/>
        <rFont val="Noto Sans CJK SC"/>
        <family val="2"/>
      </rPr>
      <t xml:space="preserve">提款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取錢</t>
    </r>
  </si>
  <si>
    <t xml:space="preserve">tai-fun/ceoi-cin</t>
  </si>
  <si>
    <t xml:space="preserve">nạp tiền</t>
  </si>
  <si>
    <t xml:space="preserve">to top up / deposit</t>
  </si>
  <si>
    <r>
      <rPr>
        <sz val="9"/>
        <color rgb="FF000000"/>
        <rFont val="Noto Sans CJK SC"/>
        <family val="2"/>
      </rPr>
      <t xml:space="preserve">充值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存款</t>
    </r>
  </si>
  <si>
    <t xml:space="preserve">cung-zik/cyun-fun</t>
  </si>
  <si>
    <t xml:space="preserve">chuyển tiền</t>
  </si>
  <si>
    <t xml:space="preserve">to transfer money</t>
  </si>
  <si>
    <t xml:space="preserve">lịch sử giao dịch</t>
  </si>
  <si>
    <t xml:space="preserve">transaction history</t>
  </si>
  <si>
    <t xml:space="preserve">交易記錄</t>
  </si>
  <si>
    <t xml:space="preserve">gaau-jik-gei-luk</t>
  </si>
  <si>
    <t xml:space="preserve">tỷ giá đô la</t>
  </si>
  <si>
    <t xml:space="preserve">dollar exchange rate</t>
  </si>
  <si>
    <t xml:space="preserve">美元匯率</t>
  </si>
  <si>
    <t xml:space="preserve">mei-jyun-wui-leot</t>
  </si>
  <si>
    <t xml:space="preserve">đồng Việt Nam (VNĐ)</t>
  </si>
  <si>
    <t xml:space="preserve">Vietnamese Dong</t>
  </si>
  <si>
    <t xml:space="preserve">lạm phát ảnh hưởng</t>
  </si>
  <si>
    <t xml:space="preserve">inflation impact</t>
  </si>
  <si>
    <t xml:space="preserve">通脹影響</t>
  </si>
  <si>
    <t xml:space="preserve">tung-zoeng-jing-hoeng</t>
  </si>
  <si>
    <t xml:space="preserve">Bạn ở đâu?</t>
  </si>
  <si>
    <t xml:space="preserve">Where are you from?</t>
  </si>
  <si>
    <r>
      <rPr>
        <sz val="9"/>
        <color rgb="FF000000"/>
        <rFont val="Noto Sans CJK SC"/>
        <family val="2"/>
      </rPr>
      <t xml:space="preserve">你從哪裡來</t>
    </r>
    <r>
      <rPr>
        <sz val="9"/>
        <color rgb="FF000000"/>
        <rFont val="Arial"/>
        <family val="0"/>
        <charset val="1"/>
      </rPr>
      <t xml:space="preserve">?</t>
    </r>
  </si>
  <si>
    <t xml:space="preserve">nei-cung-naa-lei-loi</t>
  </si>
  <si>
    <t xml:space="preserve">Bạn làm nghề gì?</t>
  </si>
  <si>
    <t xml:space="preserve">What do you do for work?</t>
  </si>
  <si>
    <r>
      <rPr>
        <sz val="9"/>
        <color rgb="FF000000"/>
        <rFont val="Noto Sans CJK SC"/>
        <family val="2"/>
      </rPr>
      <t xml:space="preserve">你做什麼工作</t>
    </r>
    <r>
      <rPr>
        <sz val="9"/>
        <color rgb="FF000000"/>
        <rFont val="Arial"/>
        <family val="0"/>
        <charset val="1"/>
      </rPr>
      <t xml:space="preserve">?</t>
    </r>
  </si>
  <si>
    <t xml:space="preserve">nei-zou-mat-je-gung-zok</t>
  </si>
  <si>
    <t xml:space="preserve">Bao lâu rồi?</t>
  </si>
  <si>
    <t xml:space="preserve">How long has it been?</t>
  </si>
  <si>
    <r>
      <rPr>
        <sz val="9"/>
        <color rgb="FF000000"/>
        <rFont val="Noto Sans CJK SC"/>
        <family val="2"/>
      </rPr>
      <t xml:space="preserve">多久了</t>
    </r>
    <r>
      <rPr>
        <sz val="9"/>
        <color rgb="FF000000"/>
        <rFont val="Arial"/>
        <family val="0"/>
        <charset val="1"/>
      </rPr>
      <t xml:space="preserve">?</t>
    </r>
  </si>
  <si>
    <t xml:space="preserve">do-gau-liu</t>
  </si>
  <si>
    <t xml:space="preserve">Đi bằng gì?</t>
  </si>
  <si>
    <t xml:space="preserve">How are you getting there?</t>
  </si>
  <si>
    <r>
      <rPr>
        <sz val="9"/>
        <color rgb="FF000000"/>
        <rFont val="Noto Sans CJK SC"/>
        <family val="2"/>
      </rPr>
      <t xml:space="preserve">怎麼去</t>
    </r>
    <r>
      <rPr>
        <sz val="9"/>
        <color rgb="FF000000"/>
        <rFont val="Arial"/>
        <family val="0"/>
        <charset val="1"/>
      </rPr>
      <t xml:space="preserve">?/</t>
    </r>
    <r>
      <rPr>
        <sz val="9"/>
        <color rgb="FF000000"/>
        <rFont val="Noto Sans CJK SC"/>
        <family val="2"/>
      </rPr>
      <t xml:space="preserve">搭什麼去</t>
    </r>
    <r>
      <rPr>
        <sz val="9"/>
        <color rgb="FF000000"/>
        <rFont val="Arial"/>
        <family val="0"/>
        <charset val="1"/>
      </rPr>
      <t xml:space="preserve">?</t>
    </r>
  </si>
  <si>
    <t xml:space="preserve">dim-jyut-heoi</t>
  </si>
  <si>
    <t xml:space="preserve">Mất bao lâu?</t>
  </si>
  <si>
    <t xml:space="preserve">How long does it take?</t>
  </si>
  <si>
    <r>
      <rPr>
        <sz val="9"/>
        <color rgb="FF000000"/>
        <rFont val="Noto Sans CJK SC"/>
        <family val="2"/>
      </rPr>
      <t xml:space="preserve">要多久</t>
    </r>
    <r>
      <rPr>
        <sz val="9"/>
        <color rgb="FF000000"/>
        <rFont val="Arial"/>
        <family val="0"/>
        <charset val="1"/>
      </rPr>
      <t xml:space="preserve">?</t>
    </r>
  </si>
  <si>
    <t xml:space="preserve">jiu-do-gau</t>
  </si>
  <si>
    <t xml:space="preserve">Ở đây có... không?</t>
  </si>
  <si>
    <t xml:space="preserve">Is there ... here?</t>
  </si>
  <si>
    <r>
      <rPr>
        <sz val="9"/>
        <color rgb="FF000000"/>
        <rFont val="Noto Sans CJK SC"/>
        <family val="2"/>
      </rPr>
      <t xml:space="preserve">這裡有</t>
    </r>
    <r>
      <rPr>
        <sz val="9"/>
        <color rgb="FF000000"/>
        <rFont val="Arial"/>
        <family val="0"/>
        <charset val="1"/>
      </rPr>
      <t xml:space="preserve">...</t>
    </r>
    <r>
      <rPr>
        <sz val="9"/>
        <color rgb="FF000000"/>
        <rFont val="Noto Sans CJK SC"/>
        <family val="2"/>
      </rPr>
      <t xml:space="preserve">嗎</t>
    </r>
    <r>
      <rPr>
        <sz val="9"/>
        <color rgb="FF000000"/>
        <rFont val="Arial"/>
        <family val="0"/>
        <charset val="1"/>
      </rPr>
      <t xml:space="preserve">?</t>
    </r>
  </si>
  <si>
    <t xml:space="preserve">ni-dou-jau...maa</t>
  </si>
  <si>
    <t xml:space="preserve">Cho tôi xem cái này</t>
  </si>
  <si>
    <t xml:space="preserve">Let me see this one</t>
  </si>
  <si>
    <t xml:space="preserve">讓我看看這個</t>
  </si>
  <si>
    <t xml:space="preserve">joeng-ngo-tai-tai-ni-go</t>
  </si>
  <si>
    <t xml:space="preserve">Cái này bao nhiêu tiền?</t>
  </si>
  <si>
    <t xml:space="preserve">How much is this?</t>
  </si>
  <si>
    <r>
      <rPr>
        <sz val="9"/>
        <color rgb="FF000000"/>
        <rFont val="Noto Sans CJK SC"/>
        <family val="2"/>
      </rPr>
      <t xml:space="preserve">這個多少錢</t>
    </r>
    <r>
      <rPr>
        <sz val="9"/>
        <color rgb="FF000000"/>
        <rFont val="Arial"/>
        <family val="0"/>
        <charset val="1"/>
      </rPr>
      <t xml:space="preserve">?</t>
    </r>
  </si>
  <si>
    <t xml:space="preserve">ni-go-do-siu-cin</t>
  </si>
  <si>
    <t xml:space="preserve">Rẻ hơn được không?</t>
  </si>
  <si>
    <t xml:space="preserve">Can you make it cheaper?</t>
  </si>
  <si>
    <r>
      <rPr>
        <sz val="9"/>
        <color rgb="FF000000"/>
        <rFont val="Noto Sans CJK SC"/>
        <family val="2"/>
      </rPr>
      <t xml:space="preserve">可以便宜一點嗎</t>
    </r>
    <r>
      <rPr>
        <sz val="9"/>
        <color rgb="FF000000"/>
        <rFont val="Arial"/>
        <family val="0"/>
        <charset val="1"/>
      </rPr>
      <t xml:space="preserve">?</t>
    </r>
  </si>
  <si>
    <t xml:space="preserve">ho-ji-peng-jat-dim-maa</t>
  </si>
  <si>
    <r>
      <rPr>
        <sz val="9"/>
        <color rgb="FF000000"/>
        <rFont val="Noto Sans CJK SC"/>
        <family val="2"/>
      </rPr>
      <t xml:space="preserve">我不明白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我不懂</t>
    </r>
  </si>
  <si>
    <t xml:space="preserve">Nói chậm lại được không?</t>
  </si>
  <si>
    <r>
      <rPr>
        <sz val="9"/>
        <color rgb="FF000000"/>
        <rFont val="Noto Sans CJK SC"/>
        <family val="2"/>
      </rPr>
      <t xml:space="preserve">可以說慢一點嗎</t>
    </r>
    <r>
      <rPr>
        <sz val="9"/>
        <color rgb="FF000000"/>
        <rFont val="Arial"/>
        <family val="0"/>
        <charset val="1"/>
      </rPr>
      <t xml:space="preserve">?</t>
    </r>
  </si>
  <si>
    <t xml:space="preserve">ho-ji-syut-maan-jat-dim-maa</t>
  </si>
  <si>
    <t xml:space="preserve">Xin lỗi, tôi người nước ngoài</t>
  </si>
  <si>
    <t xml:space="preserve">Sorry, I'm a foreigner</t>
  </si>
  <si>
    <t xml:space="preserve">對不起，我是外國人</t>
  </si>
  <si>
    <t xml:space="preserve">deoi-bat-hei-ngo-hai-ngoi-gwok-jan</t>
  </si>
  <si>
    <t xml:space="preserve">Tôi đang học tiếng Việt</t>
  </si>
  <si>
    <t xml:space="preserve">I am studying Vietnamese</t>
  </si>
  <si>
    <t xml:space="preserve">我在學越南語</t>
  </si>
  <si>
    <t xml:space="preserve">ngo-zoi-hok-jyut-naam-jyu</t>
  </si>
  <si>
    <t xml:space="preserve">Bạn có nói tiếng Anh không?</t>
  </si>
  <si>
    <t xml:space="preserve">Do you speak English?</t>
  </si>
  <si>
    <r>
      <rPr>
        <sz val="9"/>
        <color rgb="FF000000"/>
        <rFont val="Noto Sans CJK SC"/>
        <family val="2"/>
      </rPr>
      <t xml:space="preserve">你會說英語嗎</t>
    </r>
    <r>
      <rPr>
        <sz val="9"/>
        <color rgb="FF000000"/>
        <rFont val="Arial"/>
        <family val="0"/>
        <charset val="1"/>
      </rPr>
      <t xml:space="preserve">?</t>
    </r>
  </si>
  <si>
    <t xml:space="preserve">nei-wui-syut-jing-jyu-maa</t>
  </si>
  <si>
    <t xml:space="preserve">Gọi cho tôi sau nhé</t>
  </si>
  <si>
    <t xml:space="preserve">Call me later, okay?</t>
  </si>
  <si>
    <t xml:space="preserve">待會打給我哦</t>
  </si>
  <si>
    <t xml:space="preserve">doi-wui-daa-bei-ngo-o</t>
  </si>
  <si>
    <t xml:space="preserve">Tôi sẽ liên lạc lại</t>
  </si>
  <si>
    <t xml:space="preserve">I'll get back to you</t>
  </si>
  <si>
    <t xml:space="preserve">我再聯繫你</t>
  </si>
  <si>
    <t xml:space="preserve">ngo-zoi-lyun-hai-nei</t>
  </si>
  <si>
    <t xml:space="preserve">Hẹn gặp lại!</t>
  </si>
  <si>
    <t xml:space="preserve">See you again!</t>
  </si>
  <si>
    <r>
      <rPr>
        <sz val="9"/>
        <color rgb="FF000000"/>
        <rFont val="Noto Sans CJK SC"/>
        <family val="2"/>
      </rPr>
      <t xml:space="preserve">再見</t>
    </r>
    <r>
      <rPr>
        <sz val="9"/>
        <color rgb="FF000000"/>
        <rFont val="Arial"/>
        <family val="0"/>
        <charset val="1"/>
      </rPr>
      <t xml:space="preserve">!/</t>
    </r>
    <r>
      <rPr>
        <sz val="9"/>
        <color rgb="FF000000"/>
        <rFont val="Noto Sans CJK SC"/>
        <family val="2"/>
      </rPr>
      <t xml:space="preserve">下次再見</t>
    </r>
    <r>
      <rPr>
        <sz val="9"/>
        <color rgb="FF000000"/>
        <rFont val="Arial"/>
        <family val="0"/>
        <charset val="1"/>
      </rPr>
      <t xml:space="preserve">!</t>
    </r>
  </si>
  <si>
    <t xml:space="preserve">zoi-gin/haa-ci-zoi-gin</t>
  </si>
  <si>
    <t xml:space="preserve">Chúc mừng!</t>
  </si>
  <si>
    <t xml:space="preserve">Congratulations!</t>
  </si>
  <si>
    <r>
      <rPr>
        <sz val="9"/>
        <color rgb="FF000000"/>
        <rFont val="Noto Sans CJK SC"/>
        <family val="2"/>
      </rPr>
      <t xml:space="preserve">恭喜</t>
    </r>
    <r>
      <rPr>
        <sz val="9"/>
        <color rgb="FF000000"/>
        <rFont val="Arial"/>
        <family val="0"/>
        <charset val="1"/>
      </rPr>
      <t xml:space="preserve">!</t>
    </r>
  </si>
  <si>
    <t xml:space="preserve">gung-hei</t>
  </si>
  <si>
    <t xml:space="preserve">Sino-Viet: chúc mừng</t>
  </si>
  <si>
    <t xml:space="preserve">Chúc mừng sinh nhật!</t>
  </si>
  <si>
    <t xml:space="preserve">Happy Birthday!</t>
  </si>
  <si>
    <r>
      <rPr>
        <sz val="9"/>
        <color rgb="FF000000"/>
        <rFont val="Noto Sans CJK SC"/>
        <family val="2"/>
      </rPr>
      <t xml:space="preserve">生日快樂</t>
    </r>
    <r>
      <rPr>
        <sz val="9"/>
        <color rgb="FF000000"/>
        <rFont val="Arial"/>
        <family val="0"/>
        <charset val="1"/>
      </rPr>
      <t xml:space="preserve">!</t>
    </r>
  </si>
  <si>
    <t xml:space="preserve">saang-jat-faai-lok</t>
  </si>
  <si>
    <t xml:space="preserve">Chúc năm mới vui vẻ!</t>
  </si>
  <si>
    <t xml:space="preserve">Happy New Year!</t>
  </si>
  <si>
    <r>
      <rPr>
        <sz val="9"/>
        <color rgb="FF000000"/>
        <rFont val="Noto Sans CJK SC"/>
        <family val="2"/>
      </rPr>
      <t xml:space="preserve">新年快樂</t>
    </r>
    <r>
      <rPr>
        <sz val="9"/>
        <color rgb="FF000000"/>
        <rFont val="Arial"/>
        <family val="0"/>
        <charset val="1"/>
      </rPr>
      <t xml:space="preserve">!</t>
    </r>
  </si>
  <si>
    <t xml:space="preserve">san-nin-faai-lok</t>
  </si>
  <si>
    <t xml:space="preserve">therefore / so</t>
  </si>
  <si>
    <r>
      <rPr>
        <sz val="9"/>
        <color rgb="FF000000"/>
        <rFont val="Noto Sans CJK SC"/>
        <family val="2"/>
      </rPr>
      <t xml:space="preserve">因此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所以</t>
    </r>
  </si>
  <si>
    <t xml:space="preserve">jan-ci/so-ji</t>
  </si>
  <si>
    <t xml:space="preserve">Sino-Viet: vì vậy</t>
  </si>
  <si>
    <t xml:space="preserve">do đó</t>
  </si>
  <si>
    <t xml:space="preserve">as a result / therefore</t>
  </si>
  <si>
    <r>
      <rPr>
        <sz val="9"/>
        <color rgb="FF000000"/>
        <rFont val="Noto Sans CJK SC"/>
        <family val="2"/>
      </rPr>
      <t xml:space="preserve">因此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由此</t>
    </r>
  </si>
  <si>
    <t xml:space="preserve">jan-ci/jau-ci</t>
  </si>
  <si>
    <t xml:space="preserve">Sino-Viet: do đó</t>
  </si>
  <si>
    <t xml:space="preserve">bởi vì</t>
  </si>
  <si>
    <t xml:space="preserve">because / due to</t>
  </si>
  <si>
    <t xml:space="preserve">although / even though</t>
  </si>
  <si>
    <r>
      <rPr>
        <sz val="9"/>
        <color rgb="FF000000"/>
        <rFont val="Noto Sans CJK SC"/>
        <family val="2"/>
      </rPr>
      <t xml:space="preserve">雖然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儘管</t>
    </r>
  </si>
  <si>
    <t xml:space="preserve">seoi-jin/gan-gun</t>
  </si>
  <si>
    <t xml:space="preserve">Sino-Viet: mặc dù</t>
  </si>
  <si>
    <t xml:space="preserve">however / nevertheless</t>
  </si>
  <si>
    <r>
      <rPr>
        <sz val="9"/>
        <color rgb="FF000000"/>
        <rFont val="Noto Sans CJK SC"/>
        <family val="2"/>
      </rPr>
      <t xml:space="preserve">然而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但是</t>
    </r>
  </si>
  <si>
    <t xml:space="preserve">jin-ji/daan-si</t>
  </si>
  <si>
    <t xml:space="preserve">Sino-Viet: tuy nhiên</t>
  </si>
  <si>
    <t xml:space="preserve">furthermore / moreover</t>
  </si>
  <si>
    <r>
      <rPr>
        <sz val="9"/>
        <color rgb="FF000000"/>
        <rFont val="Noto Sans CJK SC"/>
        <family val="2"/>
      </rPr>
      <t xml:space="preserve">而且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此外</t>
    </r>
  </si>
  <si>
    <t xml:space="preserve">ji-ce/ci-ngoi</t>
  </si>
  <si>
    <t xml:space="preserve">ngoài ra</t>
  </si>
  <si>
    <t xml:space="preserve">besides / in addition</t>
  </si>
  <si>
    <t xml:space="preserve">at the same time / simultaneously</t>
  </si>
  <si>
    <t xml:space="preserve">trái lại</t>
  </si>
  <si>
    <r>
      <rPr>
        <sz val="9"/>
        <color rgb="FF000000"/>
        <rFont val="Noto Sans CJK SC"/>
        <family val="2"/>
      </rPr>
      <t xml:space="preserve">相反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反而</t>
    </r>
  </si>
  <si>
    <t xml:space="preserve">soeng-faan/faan-ji</t>
  </si>
  <si>
    <t xml:space="preserve">meanwhile / while</t>
  </si>
  <si>
    <t xml:space="preserve">jyu-ci-tung-si</t>
  </si>
  <si>
    <t xml:space="preserve">kết quả là</t>
  </si>
  <si>
    <t xml:space="preserve">as a result</t>
  </si>
  <si>
    <t xml:space="preserve">結果是</t>
  </si>
  <si>
    <t xml:space="preserve">git-gwo-si</t>
  </si>
  <si>
    <t xml:space="preserve">điều này có nghĩa là</t>
  </si>
  <si>
    <t xml:space="preserve">this means that</t>
  </si>
  <si>
    <t xml:space="preserve">這意味著</t>
  </si>
  <si>
    <t xml:space="preserve">ni-ji-mei-zoek</t>
  </si>
  <si>
    <t xml:space="preserve">để nói cách khác</t>
  </si>
  <si>
    <t xml:space="preserve">to put it another way</t>
  </si>
  <si>
    <t xml:space="preserve">nhìn từ góc độ khác</t>
  </si>
  <si>
    <t xml:space="preserve">from another perspective</t>
  </si>
  <si>
    <t xml:space="preserve">從另一個角度看</t>
  </si>
  <si>
    <t xml:space="preserve">cung-ling-jat-go-gok-dou-tai</t>
  </si>
  <si>
    <t xml:space="preserve">xét cho cùng</t>
  </si>
  <si>
    <t xml:space="preserve">when all is said and done</t>
  </si>
  <si>
    <r>
      <rPr>
        <sz val="9"/>
        <color rgb="FF000000"/>
        <rFont val="Noto Sans CJK SC"/>
        <family val="2"/>
      </rPr>
      <t xml:space="preserve">歸根結底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說到底</t>
    </r>
  </si>
  <si>
    <t xml:space="preserve">gwai-gan-git-dai</t>
  </si>
  <si>
    <t xml:space="preserve">ma / má / mà / mả / mã / mạ</t>
  </si>
  <si>
    <t xml:space="preserve">tone demonstration (6 tones)</t>
  </si>
  <si>
    <t xml:space="preserve">六聲示範</t>
  </si>
  <si>
    <t xml:space="preserve">luk-sing-si-faan</t>
  </si>
  <si>
    <t xml:space="preserve">ngang/sắc/huyền/hỏi/ngã/nặng</t>
  </si>
  <si>
    <t xml:space="preserve">thanh ngang</t>
  </si>
  <si>
    <t xml:space="preserve">level tone (tone 1)</t>
  </si>
  <si>
    <t xml:space="preserve">平聲</t>
  </si>
  <si>
    <t xml:space="preserve">ping-sing</t>
  </si>
  <si>
    <t xml:space="preserve">flat mid tone — like Canto tone 1</t>
  </si>
  <si>
    <t xml:space="preserve">thanh sắc</t>
  </si>
  <si>
    <t xml:space="preserve">rising tone (tone 2)</t>
  </si>
  <si>
    <r>
      <rPr>
        <sz val="9"/>
        <color rgb="FF000000"/>
        <rFont val="Noto Sans CJK SC"/>
        <family val="2"/>
      </rPr>
      <t xml:space="preserve">銳聲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升調</t>
    </r>
  </si>
  <si>
    <t xml:space="preserve">jeoi-sing/sing-diu</t>
  </si>
  <si>
    <t xml:space="preserve">rising — like Canto tone 2</t>
  </si>
  <si>
    <t xml:space="preserve">thanh huyền</t>
  </si>
  <si>
    <t xml:space="preserve">falling tone (tone 3)</t>
  </si>
  <si>
    <r>
      <rPr>
        <sz val="9"/>
        <color rgb="FF000000"/>
        <rFont val="Noto Sans CJK SC"/>
        <family val="2"/>
      </rPr>
      <t xml:space="preserve">玄聲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降調</t>
    </r>
  </si>
  <si>
    <t xml:space="preserve">jyun-sing/gong-diu</t>
  </si>
  <si>
    <t xml:space="preserve">falling — like Canto tone 5</t>
  </si>
  <si>
    <t xml:space="preserve">thanh hỏi</t>
  </si>
  <si>
    <t xml:space="preserve">dipping tone (tone 4)</t>
  </si>
  <si>
    <t xml:space="preserve">問聲</t>
  </si>
  <si>
    <t xml:space="preserve">man-sing</t>
  </si>
  <si>
    <t xml:space="preserve">dips then rises</t>
  </si>
  <si>
    <t xml:space="preserve">thanh ngã</t>
  </si>
  <si>
    <t xml:space="preserve">creaky rising (tone 5)</t>
  </si>
  <si>
    <t xml:space="preserve">跌升聲</t>
  </si>
  <si>
    <t xml:space="preserve">dit-sing-sing</t>
  </si>
  <si>
    <t xml:space="preserve">broken rising — tricky!</t>
  </si>
  <si>
    <t xml:space="preserve">thanh nặng</t>
  </si>
  <si>
    <t xml:space="preserve">heavy falling (tone 6)</t>
  </si>
  <si>
    <r>
      <rPr>
        <sz val="9"/>
        <color rgb="FF000000"/>
        <rFont val="Noto Sans CJK SC"/>
        <family val="2"/>
      </rPr>
      <t xml:space="preserve">重聲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入聲</t>
    </r>
  </si>
  <si>
    <t xml:space="preserve">zung-sing/jap-sing</t>
  </si>
  <si>
    <t xml:space="preserve">short heavy fall — like Canto entering tones</t>
  </si>
  <si>
    <t xml:space="preserve">âm đầu</t>
  </si>
  <si>
    <t xml:space="preserve">initial consonant</t>
  </si>
  <si>
    <t xml:space="preserve">聲母</t>
  </si>
  <si>
    <t xml:space="preserve">sing-mou</t>
  </si>
  <si>
    <t xml:space="preserve">âm cuối</t>
  </si>
  <si>
    <t xml:space="preserve">final consonant</t>
  </si>
  <si>
    <t xml:space="preserve">韻尾</t>
  </si>
  <si>
    <t xml:space="preserve">wan-mei</t>
  </si>
  <si>
    <t xml:space="preserve">vần</t>
  </si>
  <si>
    <t xml:space="preserve">rhyme / vowel sound</t>
  </si>
  <si>
    <r>
      <rPr>
        <sz val="9"/>
        <color rgb="FF000000"/>
        <rFont val="Noto Sans CJK SC"/>
        <family val="2"/>
      </rPr>
      <t xml:space="preserve">韻母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押韻</t>
    </r>
  </si>
  <si>
    <t xml:space="preserve">wan-mou/aat-wan</t>
  </si>
  <si>
    <t xml:space="preserve">phụ âm</t>
  </si>
  <si>
    <t xml:space="preserve">consonant</t>
  </si>
  <si>
    <r>
      <rPr>
        <sz val="9"/>
        <color rgb="FF000000"/>
        <rFont val="Noto Sans CJK SC"/>
        <family val="2"/>
      </rPr>
      <t xml:space="preserve">輔音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子音</t>
    </r>
  </si>
  <si>
    <t xml:space="preserve">fu-jam/zi-jam</t>
  </si>
  <si>
    <t xml:space="preserve">Sino-Viet: phụ âm</t>
  </si>
  <si>
    <t xml:space="preserve">nguyên âm</t>
  </si>
  <si>
    <t xml:space="preserve">vowel</t>
  </si>
  <si>
    <r>
      <rPr>
        <sz val="9"/>
        <color rgb="FF000000"/>
        <rFont val="Noto Sans CJK SC"/>
        <family val="2"/>
      </rPr>
      <t xml:space="preserve">元音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母音</t>
    </r>
  </si>
  <si>
    <t xml:space="preserve">jyun-jam/mou-jam</t>
  </si>
  <si>
    <t xml:space="preserve">Sino-Viet: nguyên âm</t>
  </si>
  <si>
    <t xml:space="preserve">giọng Nam</t>
  </si>
  <si>
    <t xml:space="preserve">Southern accent / dialect</t>
  </si>
  <si>
    <t xml:space="preserve">南部口音</t>
  </si>
  <si>
    <t xml:space="preserve">naam-bou-hau-jam</t>
  </si>
  <si>
    <t xml:space="preserve">your target accent!</t>
  </si>
  <si>
    <t xml:space="preserve">giọng Bắc</t>
  </si>
  <si>
    <t xml:space="preserve">Northern accent / dialect</t>
  </si>
  <si>
    <t xml:space="preserve">北部口音</t>
  </si>
  <si>
    <t xml:space="preserve">bak-bou-hau-jam</t>
  </si>
  <si>
    <t xml:space="preserve">Hanoi accent</t>
  </si>
  <si>
    <t xml:space="preserve">V + được</t>
  </si>
  <si>
    <t xml:space="preserve">can do V (achievable)</t>
  </si>
  <si>
    <r>
      <rPr>
        <sz val="9"/>
        <color rgb="FF000000"/>
        <rFont val="Noto Sans CJK SC"/>
        <family val="2"/>
      </rPr>
      <t xml:space="preserve">能做到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可以完成</t>
    </r>
    <r>
      <rPr>
        <sz val="9"/>
        <color rgb="FF000000"/>
        <rFont val="Arial"/>
        <family val="0"/>
        <charset val="1"/>
      </rPr>
      <t xml:space="preserve">V</t>
    </r>
  </si>
  <si>
    <t xml:space="preserve">nang-zou-dou/ho-ji-jyun-sing</t>
  </si>
  <si>
    <t xml:space="preserve">result complement — rất quan trọng!</t>
  </si>
  <si>
    <t xml:space="preserve">V + mãi không</t>
  </si>
  <si>
    <t xml:space="preserve">keep trying V but can't</t>
  </si>
  <si>
    <r>
      <rPr>
        <sz val="9"/>
        <color rgb="FF000000"/>
        <rFont val="Noto Sans CJK SC"/>
        <family val="2"/>
      </rPr>
      <t xml:space="preserve">一直</t>
    </r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但做不到</t>
    </r>
  </si>
  <si>
    <t xml:space="preserve">jat-zik-V-daan-zou-bat-dou</t>
  </si>
  <si>
    <t xml:space="preserve">càng V càng adj</t>
  </si>
  <si>
    <t xml:space="preserve">the more V, the more adj</t>
  </si>
  <si>
    <r>
      <rPr>
        <sz val="9"/>
        <color rgb="FF000000"/>
        <rFont val="Noto Sans CJK SC"/>
        <family val="2"/>
      </rPr>
      <t xml:space="preserve">越</t>
    </r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越</t>
    </r>
    <r>
      <rPr>
        <sz val="9"/>
        <color rgb="FF000000"/>
        <rFont val="Arial"/>
        <family val="0"/>
        <charset val="1"/>
      </rPr>
      <t xml:space="preserve">adj</t>
    </r>
  </si>
  <si>
    <t xml:space="preserve">jyut-V-jyut-adj</t>
  </si>
  <si>
    <t xml:space="preserve">vừa V vừa V</t>
  </si>
  <si>
    <t xml:space="preserve">to do two things simultaneously</t>
  </si>
  <si>
    <r>
      <rPr>
        <sz val="9"/>
        <color rgb="FF000000"/>
        <rFont val="Noto Sans CJK SC"/>
        <family val="2"/>
      </rPr>
      <t xml:space="preserve">一邊</t>
    </r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一邊</t>
    </r>
    <r>
      <rPr>
        <sz val="9"/>
        <color rgb="FF000000"/>
        <rFont val="Arial"/>
        <family val="0"/>
        <charset val="1"/>
      </rPr>
      <t xml:space="preserve">V</t>
    </r>
  </si>
  <si>
    <t xml:space="preserve">jat-bin-V-jat-bin-V</t>
  </si>
  <si>
    <t xml:space="preserve">V xong rồi mới V</t>
  </si>
  <si>
    <t xml:space="preserve">only after V1, then V2</t>
  </si>
  <si>
    <r>
      <rPr>
        <sz val="9"/>
        <color rgb="FF000000"/>
        <rFont val="Arial"/>
        <family val="0"/>
        <charset val="1"/>
      </rPr>
      <t xml:space="preserve">V1</t>
    </r>
    <r>
      <rPr>
        <sz val="9"/>
        <color rgb="FF000000"/>
        <rFont val="Noto Sans CJK SC"/>
        <family val="2"/>
      </rPr>
      <t xml:space="preserve">完了才</t>
    </r>
    <r>
      <rPr>
        <sz val="9"/>
        <color rgb="FF000000"/>
        <rFont val="Arial"/>
        <family val="0"/>
        <charset val="1"/>
      </rPr>
      <t xml:space="preserve">V2</t>
    </r>
  </si>
  <si>
    <t xml:space="preserve">V1-jyun-liu-coi-V2</t>
  </si>
  <si>
    <t xml:space="preserve">sequential completion</t>
  </si>
  <si>
    <t xml:space="preserve">đã V chưa?</t>
  </si>
  <si>
    <t xml:space="preserve">have you V-ed yet?</t>
  </si>
  <si>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了沒有</t>
    </r>
    <r>
      <rPr>
        <sz val="9"/>
        <color rgb="FF000000"/>
        <rFont val="Arial"/>
        <family val="0"/>
        <charset val="1"/>
      </rPr>
      <t xml:space="preserve">?</t>
    </r>
  </si>
  <si>
    <t xml:space="preserve">V-liu-mut-jau</t>
  </si>
  <si>
    <t xml:space="preserve">question of completion</t>
  </si>
  <si>
    <t xml:space="preserve">chưa V</t>
  </si>
  <si>
    <t xml:space="preserve">haven't V-ed yet</t>
  </si>
  <si>
    <r>
      <rPr>
        <sz val="9"/>
        <color rgb="FF000000"/>
        <rFont val="Noto Sans CJK SC"/>
        <family val="2"/>
      </rPr>
      <t xml:space="preserve">還沒</t>
    </r>
    <r>
      <rPr>
        <sz val="9"/>
        <color rgb="FF000000"/>
        <rFont val="Arial"/>
        <family val="0"/>
        <charset val="1"/>
      </rPr>
      <t xml:space="preserve">V</t>
    </r>
  </si>
  <si>
    <t xml:space="preserve">waan-mut-V</t>
  </si>
  <si>
    <t xml:space="preserve">sắp V rồi</t>
  </si>
  <si>
    <t xml:space="preserve">about to V / V soon</t>
  </si>
  <si>
    <r>
      <rPr>
        <sz val="9"/>
        <color rgb="FF000000"/>
        <rFont val="Noto Sans CJK SC"/>
        <family val="2"/>
      </rPr>
      <t xml:space="preserve">快要</t>
    </r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了</t>
    </r>
  </si>
  <si>
    <t xml:space="preserve">faai-jiu-V-liu</t>
  </si>
  <si>
    <t xml:space="preserve">vừa mới V</t>
  </si>
  <si>
    <t xml:space="preserve">just V-ed (recently)</t>
  </si>
  <si>
    <r>
      <rPr>
        <sz val="9"/>
        <color rgb="FF000000"/>
        <rFont val="Noto Sans CJK SC"/>
        <family val="2"/>
      </rPr>
      <t xml:space="preserve">剛剛</t>
    </r>
    <r>
      <rPr>
        <sz val="9"/>
        <color rgb="FF000000"/>
        <rFont val="Arial"/>
        <family val="0"/>
        <charset val="1"/>
      </rPr>
      <t xml:space="preserve">V/</t>
    </r>
    <r>
      <rPr>
        <sz val="9"/>
        <color rgb="FF000000"/>
        <rFont val="Noto Sans CJK SC"/>
        <family val="2"/>
      </rPr>
      <t xml:space="preserve">剛</t>
    </r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完</t>
    </r>
  </si>
  <si>
    <t xml:space="preserve">gong-gong-V</t>
  </si>
  <si>
    <t xml:space="preserve">từng V</t>
  </si>
  <si>
    <t xml:space="preserve">used to V / have once V-ed</t>
  </si>
  <si>
    <r>
      <rPr>
        <sz val="9"/>
        <color rgb="FF000000"/>
        <rFont val="Noto Sans CJK SC"/>
        <family val="2"/>
      </rPr>
      <t xml:space="preserve">曾經</t>
    </r>
    <r>
      <rPr>
        <sz val="9"/>
        <color rgb="FF000000"/>
        <rFont val="Arial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過</t>
    </r>
  </si>
  <si>
    <t xml:space="preserve">cang-ging-V-gwo</t>
  </si>
  <si>
    <t xml:space="preserve">hay V</t>
  </si>
  <si>
    <t xml:space="preserve">tend to V / often V</t>
  </si>
  <si>
    <r>
      <rPr>
        <sz val="9"/>
        <color rgb="FF000000"/>
        <rFont val="Noto Sans CJK SC"/>
        <family val="2"/>
      </rPr>
      <t xml:space="preserve">常常</t>
    </r>
    <r>
      <rPr>
        <sz val="9"/>
        <color rgb="FF000000"/>
        <rFont val="Arial"/>
        <family val="0"/>
        <charset val="1"/>
      </rPr>
      <t xml:space="preserve">V/</t>
    </r>
    <r>
      <rPr>
        <sz val="9"/>
        <color rgb="FF000000"/>
        <rFont val="Noto Sans CJK SC"/>
        <family val="2"/>
      </rPr>
      <t xml:space="preserve">愛</t>
    </r>
    <r>
      <rPr>
        <sz val="9"/>
        <color rgb="FF000000"/>
        <rFont val="Arial"/>
        <family val="0"/>
        <charset val="1"/>
      </rPr>
      <t xml:space="preserve">V</t>
    </r>
  </si>
  <si>
    <t xml:space="preserve">soeng-soeng-V/oi-V</t>
  </si>
  <si>
    <t xml:space="preserve">habitual tendency</t>
  </si>
  <si>
    <t xml:space="preserve">bị / được + V</t>
  </si>
  <si>
    <t xml:space="preserve">passive voice (bad/good)</t>
  </si>
  <si>
    <r>
      <rPr>
        <sz val="9"/>
        <color rgb="FF000000"/>
        <rFont val="Noto Sans CJK SC"/>
        <family val="2"/>
      </rPr>
      <t xml:space="preserve">被</t>
    </r>
    <r>
      <rPr>
        <sz val="9"/>
        <color rgb="FF000000"/>
        <rFont val="Arial"/>
        <family val="0"/>
        <charset val="1"/>
      </rPr>
      <t xml:space="preserve">V(</t>
    </r>
    <r>
      <rPr>
        <sz val="9"/>
        <color rgb="FF000000"/>
        <rFont val="Noto Sans CJK SC"/>
        <family val="2"/>
      </rPr>
      <t xml:space="preserve">壞</t>
    </r>
    <r>
      <rPr>
        <sz val="9"/>
        <color rgb="FF000000"/>
        <rFont val="Arial"/>
        <family val="0"/>
        <charset val="1"/>
      </rPr>
      <t xml:space="preserve">)/</t>
    </r>
    <r>
      <rPr>
        <sz val="9"/>
        <color rgb="FF000000"/>
        <rFont val="Noto Sans CJK SC"/>
        <family val="2"/>
      </rPr>
      <t xml:space="preserve">被</t>
    </r>
    <r>
      <rPr>
        <sz val="9"/>
        <color rgb="FF000000"/>
        <rFont val="Arial"/>
        <family val="0"/>
        <charset val="1"/>
      </rPr>
      <t xml:space="preserve">V(</t>
    </r>
    <r>
      <rPr>
        <sz val="9"/>
        <color rgb="FF000000"/>
        <rFont val="Noto Sans CJK SC"/>
        <family val="2"/>
      </rPr>
      <t xml:space="preserve">好</t>
    </r>
    <r>
      <rPr>
        <sz val="9"/>
        <color rgb="FF000000"/>
        <rFont val="Arial"/>
        <family val="0"/>
        <charset val="1"/>
      </rPr>
      <t xml:space="preserve">)</t>
    </r>
  </si>
  <si>
    <t xml:space="preserve">bei-V-waai/bei-V-hou</t>
  </si>
  <si>
    <t xml:space="preserve">bị=negative, được=positive passive</t>
  </si>
  <si>
    <t xml:space="preserve">thấy + adj / V</t>
  </si>
  <si>
    <t xml:space="preserve">find something adj / notice V</t>
  </si>
  <si>
    <r>
      <rPr>
        <sz val="9"/>
        <color rgb="FF000000"/>
        <rFont val="Noto Sans CJK SC"/>
        <family val="2"/>
      </rPr>
      <t xml:space="preserve">覺得</t>
    </r>
    <r>
      <rPr>
        <sz val="9"/>
        <color rgb="FF000000"/>
        <rFont val="Arial"/>
        <family val="0"/>
        <charset val="1"/>
      </rPr>
      <t xml:space="preserve">adj/</t>
    </r>
    <r>
      <rPr>
        <sz val="9"/>
        <color rgb="FF000000"/>
        <rFont val="Noto Sans CJK SC"/>
        <family val="2"/>
      </rPr>
      <t xml:space="preserve">看到</t>
    </r>
    <r>
      <rPr>
        <sz val="9"/>
        <color rgb="FF000000"/>
        <rFont val="Arial"/>
        <family val="0"/>
        <charset val="1"/>
      </rPr>
      <t xml:space="preserve">V</t>
    </r>
  </si>
  <si>
    <t xml:space="preserve">gok-dak-adj/hon-dou-V</t>
  </si>
  <si>
    <t xml:space="preserve">sensory/opinion verb</t>
  </si>
  <si>
    <t xml:space="preserve">cho là</t>
  </si>
  <si>
    <t xml:space="preserve">to think / consider that</t>
  </si>
  <si>
    <r>
      <rPr>
        <sz val="9"/>
        <color rgb="FF000000"/>
        <rFont val="Noto Sans CJK SC"/>
        <family val="2"/>
      </rPr>
      <t xml:space="preserve">認為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以為</t>
    </r>
  </si>
  <si>
    <t xml:space="preserve">jing-wai/ji-wai</t>
  </si>
  <si>
    <t xml:space="preserve">nghĩ rằng</t>
  </si>
  <si>
    <t xml:space="preserve">to think that / believe that</t>
  </si>
  <si>
    <r>
      <rPr>
        <sz val="9"/>
        <color rgb="FF000000"/>
        <rFont val="Noto Sans CJK SC"/>
        <family val="2"/>
      </rPr>
      <t xml:space="preserve">認為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覺得</t>
    </r>
  </si>
  <si>
    <t xml:space="preserve">jing-wai/gok-dak</t>
  </si>
  <si>
    <t xml:space="preserve">nói rằng</t>
  </si>
  <si>
    <t xml:space="preserve">to say that</t>
  </si>
  <si>
    <r>
      <rPr>
        <sz val="9"/>
        <color rgb="FF000000"/>
        <rFont val="Noto Sans CJK SC"/>
        <family val="2"/>
      </rPr>
      <t xml:space="preserve">說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說道</t>
    </r>
  </si>
  <si>
    <t xml:space="preserve">syut/syut-dou</t>
  </si>
  <si>
    <t xml:space="preserve">hỏi rằng</t>
  </si>
  <si>
    <t xml:space="preserve">to ask whether / ask that</t>
  </si>
  <si>
    <r>
      <rPr>
        <sz val="9"/>
        <color rgb="FF000000"/>
        <rFont val="Noto Sans CJK SC"/>
        <family val="2"/>
      </rPr>
      <t xml:space="preserve">問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詢問</t>
    </r>
  </si>
  <si>
    <t xml:space="preserve">man/seon-man</t>
  </si>
  <si>
    <t xml:space="preserve">yêu cầu + V</t>
  </si>
  <si>
    <t xml:space="preserve">to request that (someone) V</t>
  </si>
  <si>
    <r>
      <rPr>
        <sz val="9"/>
        <color rgb="FF000000"/>
        <rFont val="Noto Sans CJK SC"/>
        <family val="2"/>
      </rPr>
      <t xml:space="preserve">要求</t>
    </r>
    <r>
      <rPr>
        <sz val="9"/>
        <color rgb="FF000000"/>
        <rFont val="Arial"/>
        <family val="0"/>
        <charset val="1"/>
      </rPr>
      <t xml:space="preserve">V</t>
    </r>
  </si>
  <si>
    <t xml:space="preserve">jiu-kau-V</t>
  </si>
  <si>
    <t xml:space="preserve">cho phép + V</t>
  </si>
  <si>
    <t xml:space="preserve">to allow / permit (someone) V</t>
  </si>
  <si>
    <r>
      <rPr>
        <sz val="9"/>
        <color rgb="FF000000"/>
        <rFont val="Noto Sans CJK SC"/>
        <family val="2"/>
      </rPr>
      <t xml:space="preserve">允許</t>
    </r>
    <r>
      <rPr>
        <sz val="9"/>
        <color rgb="FF000000"/>
        <rFont val="Arial"/>
        <family val="0"/>
        <charset val="1"/>
      </rPr>
      <t xml:space="preserve">V/</t>
    </r>
    <r>
      <rPr>
        <sz val="9"/>
        <color rgb="FF000000"/>
        <rFont val="Noto Sans CJK SC"/>
        <family val="2"/>
      </rPr>
      <t xml:space="preserve">准許</t>
    </r>
    <r>
      <rPr>
        <sz val="9"/>
        <color rgb="FF000000"/>
        <rFont val="Arial"/>
        <family val="0"/>
        <charset val="1"/>
      </rPr>
      <t xml:space="preserve">V</t>
    </r>
  </si>
  <si>
    <t xml:space="preserve">wan-heoi-V/zeon-heoi-V</t>
  </si>
  <si>
    <t xml:space="preserve">cần phải + V</t>
  </si>
  <si>
    <t xml:space="preserve">need to / must V</t>
  </si>
  <si>
    <r>
      <rPr>
        <sz val="9"/>
        <color rgb="FF000000"/>
        <rFont val="Noto Sans CJK SC"/>
        <family val="2"/>
      </rPr>
      <t xml:space="preserve">需要</t>
    </r>
    <r>
      <rPr>
        <sz val="9"/>
        <color rgb="FF000000"/>
        <rFont val="Arial"/>
        <family val="0"/>
        <charset val="1"/>
      </rPr>
      <t xml:space="preserve">V/</t>
    </r>
    <r>
      <rPr>
        <sz val="9"/>
        <color rgb="FF000000"/>
        <rFont val="Noto Sans CJK SC"/>
        <family val="2"/>
      </rPr>
      <t xml:space="preserve">必須</t>
    </r>
    <r>
      <rPr>
        <sz val="9"/>
        <color rgb="FF000000"/>
        <rFont val="Arial"/>
        <family val="0"/>
        <charset val="1"/>
      </rPr>
      <t xml:space="preserve">V</t>
    </r>
  </si>
  <si>
    <t xml:space="preserve">seoi-jiu-V/bit-seoi-V</t>
  </si>
  <si>
    <t xml:space="preserve">ngay lập tức</t>
  </si>
  <si>
    <t xml:space="preserve">immediately / right away</t>
  </si>
  <si>
    <r>
      <rPr>
        <sz val="9"/>
        <color rgb="FF000000"/>
        <rFont val="Noto Sans CJK SC"/>
        <family val="2"/>
      </rPr>
      <t xml:space="preserve">立刻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馬上</t>
    </r>
  </si>
  <si>
    <t xml:space="preserve">lap-hak/maa-soeng</t>
  </si>
  <si>
    <t xml:space="preserve">slowly / take it easy</t>
  </si>
  <si>
    <r>
      <rPr>
        <sz val="9"/>
        <color rgb="FF000000"/>
        <rFont val="Noto Sans CJK SC"/>
        <family val="2"/>
      </rPr>
      <t xml:space="preserve">慢慢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慢慢來</t>
    </r>
  </si>
  <si>
    <t xml:space="preserve">maan-maan/maan-maan-loi</t>
  </si>
  <si>
    <t xml:space="preserve">một chút</t>
  </si>
  <si>
    <t xml:space="preserve">a little / a bit</t>
  </si>
  <si>
    <r>
      <rPr>
        <sz val="9"/>
        <color rgb="FF000000"/>
        <rFont val="Noto Sans CJK SC"/>
        <family val="2"/>
      </rPr>
      <t xml:space="preserve">一點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一些</t>
    </r>
  </si>
  <si>
    <t xml:space="preserve">jat-dim/jat-di</t>
  </si>
  <si>
    <t xml:space="preserve">rất nhiều</t>
  </si>
  <si>
    <t xml:space="preserve">very many / a lot</t>
  </si>
  <si>
    <r>
      <rPr>
        <sz val="9"/>
        <color rgb="FF000000"/>
        <rFont val="Noto Sans CJK SC"/>
        <family val="2"/>
      </rPr>
      <t xml:space="preserve">很多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大量</t>
    </r>
  </si>
  <si>
    <t xml:space="preserve">hou-do/daai-loeng</t>
  </si>
  <si>
    <t xml:space="preserve">khá là</t>
  </si>
  <si>
    <r>
      <rPr>
        <sz val="9"/>
        <color rgb="FF000000"/>
        <rFont val="Noto Sans CJK SC"/>
        <family val="2"/>
      </rPr>
      <t xml:space="preserve">相當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頗</t>
    </r>
  </si>
  <si>
    <t xml:space="preserve">soeng-dong/po</t>
  </si>
  <si>
    <r>
      <rPr>
        <sz val="9"/>
        <color rgb="FF000000"/>
        <rFont val="Noto Sans CJK SC"/>
        <family val="2"/>
      </rPr>
      <t xml:space="preserve">有點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稍微</t>
    </r>
  </si>
  <si>
    <t xml:space="preserve">jau-dim/siu-mei</t>
  </si>
  <si>
    <t xml:space="preserve">too (much) / over-</t>
  </si>
  <si>
    <r>
      <rPr>
        <sz val="9"/>
        <color rgb="FF000000"/>
        <rFont val="Noto Sans CJK SC"/>
        <family val="2"/>
      </rPr>
      <t xml:space="preserve">太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過份</t>
    </r>
  </si>
  <si>
    <t xml:space="preserve">taai/gwo-fan</t>
  </si>
  <si>
    <r>
      <rPr>
        <sz val="9"/>
        <color rgb="FF000000"/>
        <rFont val="Noto Sans CJK SC"/>
        <family val="2"/>
      </rPr>
      <t xml:space="preserve">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足夠</t>
    </r>
  </si>
  <si>
    <t xml:space="preserve">gau/zuk-gau</t>
  </si>
  <si>
    <t xml:space="preserve">thiếu</t>
  </si>
  <si>
    <t xml:space="preserve">lacking / not enough</t>
  </si>
  <si>
    <r>
      <rPr>
        <sz val="9"/>
        <color rgb="FF000000"/>
        <rFont val="Noto Sans CJK SC"/>
        <family val="2"/>
      </rPr>
      <t xml:space="preserve">不夠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缺少</t>
    </r>
  </si>
  <si>
    <t xml:space="preserve">bat-gau/kyut-siu</t>
  </si>
  <si>
    <t xml:space="preserve">thừa</t>
  </si>
  <si>
    <t xml:space="preserve">excess / too much / left over</t>
  </si>
  <si>
    <r>
      <rPr>
        <sz val="9"/>
        <color rgb="FF000000"/>
        <rFont val="Noto Sans CJK SC"/>
        <family val="2"/>
      </rPr>
      <t xml:space="preserve">多餘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過剩</t>
    </r>
  </si>
  <si>
    <t xml:space="preserve">do-jyu/gwo-sing</t>
  </si>
  <si>
    <t xml:space="preserve">đúng lúc</t>
  </si>
  <si>
    <t xml:space="preserve">just in time / on time</t>
  </si>
  <si>
    <r>
      <rPr>
        <sz val="9"/>
        <color rgb="FF000000"/>
        <rFont val="Noto Sans CJK SC"/>
        <family val="2"/>
      </rPr>
      <t xml:space="preserve">及時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準時</t>
    </r>
  </si>
  <si>
    <t xml:space="preserve">gap-si/zeon-si</t>
  </si>
  <si>
    <t xml:space="preserve">trễ / muộn</t>
  </si>
  <si>
    <t xml:space="preserve">late</t>
  </si>
  <si>
    <r>
      <rPr>
        <sz val="9"/>
        <color rgb="FF000000"/>
        <rFont val="Noto Sans CJK SC"/>
        <family val="2"/>
      </rPr>
      <t xml:space="preserve">遲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晚</t>
    </r>
  </si>
  <si>
    <t xml:space="preserve">ci/maan</t>
  </si>
  <si>
    <t xml:space="preserve">trễ = Southern</t>
  </si>
  <si>
    <t xml:space="preserve">sớm</t>
  </si>
  <si>
    <t xml:space="preserve">early</t>
  </si>
  <si>
    <r>
      <rPr>
        <sz val="9"/>
        <color rgb="FF000000"/>
        <rFont val="Noto Sans CJK SC"/>
        <family val="2"/>
      </rPr>
      <t xml:space="preserve">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提早</t>
    </r>
  </si>
  <si>
    <t xml:space="preserve">zou/tai-zou</t>
  </si>
  <si>
    <t xml:space="preserve">gần đây</t>
  </si>
  <si>
    <t xml:space="preserve">recently / nearby</t>
  </si>
  <si>
    <r>
      <rPr>
        <sz val="9"/>
        <color rgb="FF000000"/>
        <rFont val="Noto Sans CJK SC"/>
        <family val="2"/>
      </rPr>
      <t xml:space="preserve">最近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附近</t>
    </r>
  </si>
  <si>
    <t xml:space="preserve">zeoi-kan/fu-kan</t>
  </si>
  <si>
    <t xml:space="preserve">lâu rồi</t>
  </si>
  <si>
    <t xml:space="preserve">it's been a long time</t>
  </si>
  <si>
    <r>
      <rPr>
        <sz val="9"/>
        <color rgb="FF000000"/>
        <rFont val="Noto Sans CJK SC"/>
        <family val="2"/>
      </rPr>
      <t xml:space="preserve">好久了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很久了</t>
    </r>
  </si>
  <si>
    <t xml:space="preserve">hou-gau-liu/hou-gau-liu</t>
  </si>
  <si>
    <t xml:space="preserve">mới đây</t>
  </si>
  <si>
    <t xml:space="preserve">just recently / newly</t>
  </si>
  <si>
    <r>
      <rPr>
        <sz val="9"/>
        <color rgb="FF000000"/>
        <rFont val="Noto Sans CJK SC"/>
        <family val="2"/>
      </rPr>
      <t xml:space="preserve">不久前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新近</t>
    </r>
  </si>
  <si>
    <t xml:space="preserve">bat-gau-cin/san-gan</t>
  </si>
  <si>
    <r>
      <rPr>
        <sz val="9"/>
        <color rgb="FF000000"/>
        <rFont val="Noto Sans CJK SC"/>
        <family val="2"/>
      </rPr>
      <t xml:space="preserve">正常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普通</t>
    </r>
  </si>
  <si>
    <t xml:space="preserve">zing-soeng/pou-tung</t>
  </si>
  <si>
    <t xml:space="preserve">Sino-Viet: bình thường</t>
  </si>
  <si>
    <t xml:space="preserve">special / particular</t>
  </si>
  <si>
    <t xml:space="preserve">Sino-Viet: đặc biệt</t>
  </si>
  <si>
    <t xml:space="preserve">tệ</t>
  </si>
  <si>
    <t xml:space="preserve">bad / terrible</t>
  </si>
  <si>
    <r>
      <rPr>
        <sz val="9"/>
        <color rgb="FF000000"/>
        <rFont val="Noto Sans CJK SC"/>
        <family val="2"/>
      </rPr>
      <t xml:space="preserve">差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糟糕</t>
    </r>
  </si>
  <si>
    <t xml:space="preserve">caa/zou-gaau</t>
  </si>
  <si>
    <t xml:space="preserve">tệ hại</t>
  </si>
  <si>
    <t xml:space="preserve">really bad / terrible (emphatic)</t>
  </si>
  <si>
    <r>
      <rPr>
        <sz val="9"/>
        <color rgb="FF000000"/>
        <rFont val="Noto Sans CJK SC"/>
        <family val="2"/>
      </rPr>
      <t xml:space="preserve">很糟糕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很差</t>
    </r>
  </si>
  <si>
    <t xml:space="preserve">hou-zou-gaau/hou-caa</t>
  </si>
  <si>
    <t xml:space="preserve">xuất sắc</t>
  </si>
  <si>
    <t xml:space="preserve">excellent / outstanding</t>
  </si>
  <si>
    <r>
      <rPr>
        <sz val="9"/>
        <color rgb="FF000000"/>
        <rFont val="Noto Sans CJK SC"/>
        <family val="2"/>
      </rPr>
      <t xml:space="preserve">優秀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出色</t>
    </r>
  </si>
  <si>
    <t xml:space="preserve">jau-sau/ceot-sik</t>
  </si>
  <si>
    <t xml:space="preserve">Sino-Viet: xuất sắc</t>
  </si>
  <si>
    <t xml:space="preserve">tạm được</t>
  </si>
  <si>
    <t xml:space="preserve">acceptable / so-so / okay enough</t>
  </si>
  <si>
    <r>
      <rPr>
        <sz val="9"/>
        <color rgb="FF000000"/>
        <rFont val="Noto Sans CJK SC"/>
        <family val="2"/>
      </rPr>
      <t xml:space="preserve">還可以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馬馬虎虎</t>
    </r>
  </si>
  <si>
    <t xml:space="preserve">waan-ho-ji/maa-maa-fu-fu</t>
  </si>
  <si>
    <t xml:space="preserve">không ra gì</t>
  </si>
  <si>
    <t xml:space="preserve">useless / no good</t>
  </si>
  <si>
    <r>
      <rPr>
        <sz val="9"/>
        <color rgb="FF000000"/>
        <rFont val="Noto Sans CJK SC"/>
        <family val="2"/>
      </rPr>
      <t xml:space="preserve">不像樣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沒用</t>
    </r>
  </si>
  <si>
    <t xml:space="preserve">bat-zoeng-joeng/mut-jung</t>
  </si>
  <si>
    <t xml:space="preserve">có ích</t>
  </si>
  <si>
    <t xml:space="preserve">useful / helpful</t>
  </si>
  <si>
    <r>
      <rPr>
        <sz val="9"/>
        <color rgb="FF000000"/>
        <rFont val="Noto Sans CJK SC"/>
        <family val="2"/>
      </rPr>
      <t xml:space="preserve">有用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有益</t>
    </r>
  </si>
  <si>
    <t xml:space="preserve">jau-jung/jau-jik</t>
  </si>
  <si>
    <t xml:space="preserve">Sino-Viet: có ích</t>
  </si>
  <si>
    <t xml:space="preserve">vô ích</t>
  </si>
  <si>
    <t xml:space="preserve">useless / in vain</t>
  </si>
  <si>
    <r>
      <rPr>
        <sz val="9"/>
        <color rgb="FF000000"/>
        <rFont val="Noto Sans CJK SC"/>
        <family val="2"/>
      </rPr>
      <t xml:space="preserve">無用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徒勞</t>
    </r>
  </si>
  <si>
    <t xml:space="preserve">mou-jung/tou-lou</t>
  </si>
  <si>
    <t xml:space="preserve">Sino-Viet: vô ích</t>
  </si>
  <si>
    <t xml:space="preserve">interesting / fun</t>
  </si>
  <si>
    <r>
      <rPr>
        <sz val="9"/>
        <color rgb="FF000000"/>
        <rFont val="Noto Sans CJK SC"/>
        <family val="2"/>
      </rPr>
      <t xml:space="preserve">有趣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有意思</t>
    </r>
  </si>
  <si>
    <t xml:space="preserve">jau-ceoi/jau-ji-si</t>
  </si>
  <si>
    <t xml:space="preserve">Sino-Viet: thú vị</t>
  </si>
  <si>
    <t xml:space="preserve">boring / tedious</t>
  </si>
  <si>
    <r>
      <rPr>
        <sz val="9"/>
        <color rgb="FF000000"/>
        <rFont val="Noto Sans CJK SC"/>
        <family val="2"/>
      </rPr>
      <t xml:space="preserve">無聊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枯燥</t>
    </r>
  </si>
  <si>
    <t xml:space="preserve">mou-liu/fu-zou</t>
  </si>
  <si>
    <t xml:space="preserve">phức tạp quá</t>
  </si>
  <si>
    <t xml:space="preserve">too complicated</t>
  </si>
  <si>
    <t xml:space="preserve">太複雜了</t>
  </si>
  <si>
    <t xml:space="preserve">taai-fuk-zaap-liu</t>
  </si>
  <si>
    <r>
      <rPr>
        <sz val="9"/>
        <color rgb="FF000000"/>
        <rFont val="Noto Sans CJK SC"/>
        <family val="2"/>
      </rPr>
      <t xml:space="preserve">其實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實際上</t>
    </r>
  </si>
  <si>
    <t xml:space="preserve">kei-sat/sat-zai-soeng</t>
  </si>
  <si>
    <t xml:space="preserve">về cơ bản</t>
  </si>
  <si>
    <t xml:space="preserve">basically / fundamentally</t>
  </si>
  <si>
    <t xml:space="preserve">基本上</t>
  </si>
  <si>
    <t xml:space="preserve">gei-bun-soeng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</si>
</sst>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E3A5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C62828"/>
      <name val="Arial"/>
      <family val="0"/>
      <charset val="1"/>
    </font>
    <font>
      <sz val="10"/>
      <color rgb="FF6A1B9A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000000"/>
      <name val="Noto Sans CJK SC"/>
      <family val="2"/>
    </font>
    <font>
      <sz val="10"/>
      <color rgb="FF1B5E20"/>
      <name val="Arial"/>
      <family val="0"/>
      <charset val="1"/>
    </font>
    <font>
      <b val="true"/>
      <sz val="10"/>
      <color rgb="FF000000"/>
      <name val="Noto Sans CJK SC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E3A5F"/>
      </patternFill>
    </fill>
    <fill>
      <patternFill patternType="solid">
        <fgColor rgb="FFE8EAF6"/>
        <bgColor rgb="FFEDE7F6"/>
      </patternFill>
    </fill>
    <fill>
      <patternFill patternType="solid">
        <fgColor rgb="FF374151"/>
        <bgColor rgb="FF444444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3F2FD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8EAF6"/>
      </patternFill>
    </fill>
    <fill>
      <patternFill patternType="solid">
        <fgColor rgb="FFE65100"/>
        <bgColor rgb="FFC62828"/>
      </patternFill>
    </fill>
    <fill>
      <patternFill patternType="solid">
        <fgColor rgb="FFFFF3E0"/>
        <bgColor rgb="FFFFF8E1"/>
      </patternFill>
    </fill>
    <fill>
      <patternFill patternType="solid">
        <fgColor rgb="FF6A1B9A"/>
        <bgColor rgb="FF5B21B6"/>
      </patternFill>
    </fill>
    <fill>
      <patternFill patternType="solid">
        <fgColor rgb="FFEDE7F6"/>
        <bgColor rgb="FFE8EAF6"/>
      </patternFill>
    </fill>
    <fill>
      <patternFill patternType="solid">
        <fgColor rgb="FFAD1457"/>
        <bgColor rgb="FFC62828"/>
      </patternFill>
    </fill>
    <fill>
      <patternFill patternType="solid">
        <fgColor rgb="FFFCE4EC"/>
        <bgColor rgb="FFFFEBEE"/>
      </patternFill>
    </fill>
    <fill>
      <patternFill patternType="solid">
        <fgColor rgb="FF1E40AF"/>
        <bgColor rgb="FF1F3864"/>
      </patternFill>
    </fill>
    <fill>
      <patternFill patternType="solid">
        <fgColor rgb="FFEFF6FF"/>
        <bgColor rgb="FFE3F2FD"/>
      </patternFill>
    </fill>
    <fill>
      <patternFill patternType="solid">
        <fgColor rgb="FFDBEAFE"/>
        <bgColor rgb="FFE3F2FD"/>
      </patternFill>
    </fill>
    <fill>
      <patternFill patternType="solid">
        <fgColor rgb="FFBFDBFE"/>
        <bgColor rgb="FFDBEAFE"/>
      </patternFill>
    </fill>
    <fill>
      <patternFill patternType="solid">
        <fgColor rgb="FF93C5FD"/>
        <bgColor rgb="FFBFDBFE"/>
      </patternFill>
    </fill>
    <fill>
      <patternFill patternType="solid">
        <fgColor rgb="FF60A5FA"/>
        <bgColor rgb="FF93C5FD"/>
      </patternFill>
    </fill>
    <fill>
      <patternFill patternType="solid">
        <fgColor rgb="FF4B5563"/>
        <bgColor rgb="FF555555"/>
      </patternFill>
    </fill>
    <fill>
      <patternFill patternType="solid">
        <fgColor rgb="FFFFEBEE"/>
        <bgColor rgb="FFFCE4EC"/>
      </patternFill>
    </fill>
    <fill>
      <patternFill patternType="solid">
        <fgColor rgb="FFF3E5F5"/>
        <bgColor rgb="FFEDE7F6"/>
      </patternFill>
    </fill>
    <fill>
      <patternFill patternType="solid">
        <fgColor rgb="FFFFF8E1"/>
        <bgColor rgb="FFFFF3E0"/>
      </patternFill>
    </fill>
    <fill>
      <patternFill patternType="solid">
        <fgColor rgb="FF5B21B6"/>
        <bgColor rgb="FF6A1B9A"/>
      </patternFill>
    </fill>
    <fill>
      <patternFill patternType="solid">
        <fgColor rgb="FF7C3AED"/>
        <bgColor rgb="FF5B21B6"/>
      </patternFill>
    </fill>
    <fill>
      <patternFill patternType="solid">
        <fgColor rgb="FFFFF9C4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1E3A5F"/>
      <rgbColor rgb="FF808000"/>
      <rgbColor rgb="FF6A1B9A"/>
      <rgbColor rgb="FF008080"/>
      <rgbColor rgb="FFCCCCCC"/>
      <rgbColor rgb="FF555555"/>
      <rgbColor rgb="FF60A5FA"/>
      <rgbColor rgb="FFAD1457"/>
      <rgbColor rgb="FFFFF9C4"/>
      <rgbColor rgb="FFE3F2FD"/>
      <rgbColor rgb="FF374151"/>
      <rgbColor rgb="FFEFF6FF"/>
      <rgbColor rgb="FF1565C0"/>
      <rgbColor rgb="FFBFDBFE"/>
      <rgbColor rgb="FF000080"/>
      <rgbColor rgb="FFFF00FF"/>
      <rgbColor rgb="FFFFEBEE"/>
      <rgbColor rgb="FF00FFFF"/>
      <rgbColor rgb="FF5B21B6"/>
      <rgbColor rgb="FF800000"/>
      <rgbColor rgb="FF008080"/>
      <rgbColor rgb="FF0000FF"/>
      <rgbColor rgb="FF00CCFF"/>
      <rgbColor rgb="FFDBEAFE"/>
      <rgbColor rgb="FFE8F5E9"/>
      <rgbColor rgb="FFFFF8E1"/>
      <rgbColor rgb="FF93C5FD"/>
      <rgbColor rgb="FFFCE4EC"/>
      <rgbColor rgb="FFF3E5F5"/>
      <rgbColor rgb="FFDDDDDD"/>
      <rgbColor rgb="FF3366FF"/>
      <rgbColor rgb="FF33CCCC"/>
      <rgbColor rgb="FF99CC00"/>
      <rgbColor rgb="FFEDE7F6"/>
      <rgbColor rgb="FFFF9900"/>
      <rgbColor rgb="FFE65100"/>
      <rgbColor rgb="FF4B5563"/>
      <rgbColor rgb="FFE8EAF6"/>
      <rgbColor rgb="FF1F3864"/>
      <rgbColor rgb="FF2E7D32"/>
      <rgbColor rgb="FF111111"/>
      <rgbColor rgb="FF444444"/>
      <rgbColor rgb="FFC62828"/>
      <rgbColor rgb="FF7C3AED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2"/>
    <col collapsed="false" customWidth="true" hidden="false" outlineLevel="0" max="4" min="4" style="0" width="6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tr">
        <f aca="false">CONCATENATE("Southern Vietnamese (Saigon)  |  For Cantonese Speakers  |  ",TEXT(B10,"#,##0")," words — Series Complete 🎯")</f>
        <v>Southern Vietnamese (Saigon)  |  For Cantonese Speakers  |  156 words — Series Complete 🎯</v>
      </c>
      <c r="B2" s="2"/>
      <c r="C2" s="2"/>
      <c r="D2" s="2"/>
    </row>
    <row r="4" customFormat="false" ht="19.5" hidden="false" customHeight="true" outlineLevel="0" collapsed="false">
      <c r="A4" s="3" t="s">
        <v>1</v>
      </c>
      <c r="B4" s="3"/>
      <c r="C4" s="3"/>
      <c r="D4" s="3"/>
    </row>
    <row r="5" customFormat="false" ht="15" hidden="false" customHeight="false" outlineLevel="0" collapsed="false">
      <c r="A5" s="4" t="s">
        <v>2</v>
      </c>
      <c r="B5" s="4" t="s">
        <v>3</v>
      </c>
      <c r="C5" s="4"/>
      <c r="D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COUNTIF('📚 All Words (Combined)'!$B:$B,"Part 1 — Foundations")</f>
        <v>659</v>
      </c>
      <c r="C6" s="7"/>
      <c r="D6" s="8" t="s">
        <v>6</v>
      </c>
    </row>
    <row r="7" customFormat="false" ht="15" hidden="false" customHeight="false" outlineLevel="0" collapsed="false">
      <c r="A7" s="9" t="s">
        <v>7</v>
      </c>
      <c r="B7" s="10" t="n">
        <f aca="false">COUNTIF('📚 All Words (Combined)'!$B:$B,"Part 2 — Intermediate")</f>
        <v>524</v>
      </c>
      <c r="C7" s="11"/>
      <c r="D7" s="12" t="s">
        <v>8</v>
      </c>
    </row>
    <row r="8" customFormat="false" ht="15" hidden="false" customHeight="false" outlineLevel="0" collapsed="false">
      <c r="A8" s="13" t="s">
        <v>9</v>
      </c>
      <c r="B8" s="14" t="n">
        <f aca="false">COUNTIF('📚 All Words (Combined)'!$B:$B,"Part 3 — Advanced")</f>
        <v>339</v>
      </c>
      <c r="C8" s="15"/>
      <c r="D8" s="16" t="s">
        <v>10</v>
      </c>
    </row>
    <row r="9" customFormat="false" ht="15" hidden="false" customHeight="false" outlineLevel="0" collapsed="false">
      <c r="A9" s="17" t="s">
        <v>11</v>
      </c>
      <c r="B9" s="18" t="n">
        <f aca="false">COUNTIF('📚 All Words (Combined)'!$B:$B,"Part 4 — Completion")</f>
        <v>284</v>
      </c>
      <c r="C9" s="19"/>
      <c r="D9" s="20" t="s">
        <v>12</v>
      </c>
    </row>
    <row r="10" customFormat="false" ht="15" hidden="false" customHeight="false" outlineLevel="0" collapsed="false">
      <c r="A10" s="21" t="s">
        <v>13</v>
      </c>
      <c r="B10" s="22" t="n">
        <f aca="false">COUNTIF('📚 All Words (Combined)'!$B:$B,"Part 5 — Final")</f>
        <v>156</v>
      </c>
      <c r="C10" s="23"/>
      <c r="D10" s="24" t="s">
        <v>14</v>
      </c>
    </row>
    <row r="11" customFormat="false" ht="19.5" hidden="false" customHeight="true" outlineLevel="0" collapsed="false">
      <c r="A11" s="25" t="s">
        <v>15</v>
      </c>
      <c r="B11" s="26" t="n">
        <f aca="false">SUM(B6,B7,B8,B9,B10)</f>
        <v>1962</v>
      </c>
      <c r="C11" s="27"/>
      <c r="D11" s="28" t="s">
        <v>16</v>
      </c>
    </row>
    <row r="14" customFormat="false" ht="19.5" hidden="false" customHeight="true" outlineLevel="0" collapsed="false">
      <c r="A14" s="29" t="s">
        <v>17</v>
      </c>
      <c r="B14" s="29"/>
      <c r="C14" s="29"/>
      <c r="D14" s="29"/>
    </row>
    <row r="15" customFormat="false" ht="15" hidden="false" customHeight="false" outlineLevel="0" collapsed="false">
      <c r="A15" s="30" t="s">
        <v>18</v>
      </c>
      <c r="B15" s="30"/>
      <c r="C15" s="30" t="s">
        <v>19</v>
      </c>
      <c r="D15" s="30" t="s">
        <v>20</v>
      </c>
    </row>
    <row r="16" customFormat="false" ht="15" hidden="false" customHeight="false" outlineLevel="0" collapsed="false">
      <c r="A16" s="31" t="s">
        <v>21</v>
      </c>
      <c r="B16" s="32"/>
      <c r="C16" s="32" t="s">
        <v>22</v>
      </c>
      <c r="D16" s="33" t="s">
        <v>23</v>
      </c>
    </row>
    <row r="17" customFormat="false" ht="15" hidden="false" customHeight="false" outlineLevel="0" collapsed="false">
      <c r="A17" s="34" t="s">
        <v>24</v>
      </c>
      <c r="B17" s="35"/>
      <c r="C17" s="35" t="s">
        <v>25</v>
      </c>
      <c r="D17" s="36" t="s">
        <v>26</v>
      </c>
    </row>
    <row r="18" customFormat="false" ht="15" hidden="false" customHeight="false" outlineLevel="0" collapsed="false">
      <c r="A18" s="37" t="s">
        <v>27</v>
      </c>
      <c r="B18" s="38"/>
      <c r="C18" s="38" t="s">
        <v>28</v>
      </c>
      <c r="D18" s="39" t="s">
        <v>29</v>
      </c>
    </row>
    <row r="19" customFormat="false" ht="15" hidden="false" customHeight="false" outlineLevel="0" collapsed="false">
      <c r="A19" s="40" t="s">
        <v>30</v>
      </c>
      <c r="B19" s="41"/>
      <c r="C19" s="41" t="s">
        <v>31</v>
      </c>
      <c r="D19" s="42" t="s">
        <v>32</v>
      </c>
    </row>
    <row r="20" customFormat="false" ht="15" hidden="false" customHeight="false" outlineLevel="0" collapsed="false">
      <c r="A20" s="43" t="s">
        <v>33</v>
      </c>
      <c r="B20" s="44"/>
      <c r="C20" s="44" t="s">
        <v>34</v>
      </c>
      <c r="D20" s="45" t="s">
        <v>35</v>
      </c>
    </row>
    <row r="23" customFormat="false" ht="21.75" hidden="false" customHeight="true" outlineLevel="0" collapsed="false">
      <c r="A23" s="46" t="s">
        <v>36</v>
      </c>
      <c r="B23" s="46"/>
      <c r="C23" s="46"/>
      <c r="D23" s="46"/>
    </row>
    <row r="24" customFormat="false" ht="15" hidden="false" customHeight="false" outlineLevel="0" collapsed="false">
      <c r="A24" s="47" t="s">
        <v>37</v>
      </c>
      <c r="B24" s="47"/>
      <c r="C24" s="47"/>
      <c r="D24" s="47"/>
    </row>
    <row r="25" customFormat="false" ht="15" hidden="false" customHeight="false" outlineLevel="0" collapsed="false">
      <c r="A25" s="48" t="s">
        <v>38</v>
      </c>
      <c r="B25" s="48" t="s">
        <v>3</v>
      </c>
      <c r="C25" s="48"/>
      <c r="D25" s="48" t="s">
        <v>39</v>
      </c>
    </row>
    <row r="26" customFormat="false" ht="15.75" hidden="false" customHeight="true" outlineLevel="0" collapsed="false">
      <c r="A26" s="49" t="s">
        <v>40</v>
      </c>
      <c r="B26" s="50" t="n">
        <f aca="false">COUNTIFS('📚 All Words (Combined)'!$B:$B,"Part 1 — Foundations",'📚 All Words (Combined)'!$G:$G,"Pronouns &amp; People")</f>
        <v>27</v>
      </c>
      <c r="C26" s="49"/>
      <c r="D26" s="51" t="s">
        <v>41</v>
      </c>
    </row>
    <row r="27" customFormat="false" ht="15.75" hidden="false" customHeight="true" outlineLevel="0" collapsed="false">
      <c r="A27" s="49" t="s">
        <v>42</v>
      </c>
      <c r="B27" s="50" t="n">
        <f aca="false">COUNTIFS('📚 All Words (Combined)'!$B:$B,"Part 1 — Foundations",'📚 All Words (Combined)'!$G:$G,"Numbers")</f>
        <v>20</v>
      </c>
      <c r="C27" s="49"/>
      <c r="D27" s="51" t="s">
        <v>43</v>
      </c>
    </row>
    <row r="28" customFormat="false" ht="15.75" hidden="false" customHeight="true" outlineLevel="0" collapsed="false">
      <c r="A28" s="49" t="s">
        <v>44</v>
      </c>
      <c r="B28" s="50" t="n">
        <f aca="false">COUNTIFS('📚 All Words (Combined)'!$B:$B,"Part 1 — Foundations",'📚 All Words (Combined)'!$G:$G,"Time")</f>
        <v>36</v>
      </c>
      <c r="C28" s="49"/>
      <c r="D28" s="51" t="s">
        <v>45</v>
      </c>
    </row>
    <row r="29" customFormat="false" ht="15.75" hidden="false" customHeight="true" outlineLevel="0" collapsed="false">
      <c r="A29" s="49" t="s">
        <v>46</v>
      </c>
      <c r="B29" s="50" t="n">
        <f aca="false">COUNTIFS('📚 All Words (Combined)'!$B:$B,"Part 1 — Foundations",'📚 All Words (Combined)'!$G:$G,"Greetings")</f>
        <v>14</v>
      </c>
      <c r="C29" s="49"/>
      <c r="D29" s="51" t="s">
        <v>47</v>
      </c>
    </row>
    <row r="30" customFormat="false" ht="15.75" hidden="false" customHeight="true" outlineLevel="0" collapsed="false">
      <c r="A30" s="49" t="s">
        <v>48</v>
      </c>
      <c r="B30" s="50" t="n">
        <f aca="false">COUNTIFS('📚 All Words (Combined)'!$B:$B,"Part 1 — Foundations",'📚 All Words (Combined)'!$G:$G,"Core Verbs")</f>
        <v>76</v>
      </c>
      <c r="C30" s="49"/>
      <c r="D30" s="51" t="s">
        <v>49</v>
      </c>
    </row>
    <row r="31" customFormat="false" ht="15.75" hidden="false" customHeight="true" outlineLevel="0" collapsed="false">
      <c r="A31" s="49" t="s">
        <v>50</v>
      </c>
      <c r="B31" s="50" t="n">
        <f aca="false">COUNTIFS('📚 All Words (Combined)'!$B:$B,"Part 1 — Foundations",'📚 All Words (Combined)'!$G:$G,"Adjectives")</f>
        <v>57</v>
      </c>
      <c r="C31" s="49"/>
      <c r="D31" s="51" t="s">
        <v>51</v>
      </c>
    </row>
    <row r="32" customFormat="false" ht="15.75" hidden="false" customHeight="true" outlineLevel="0" collapsed="false">
      <c r="A32" s="49" t="s">
        <v>52</v>
      </c>
      <c r="B32" s="50" t="n">
        <f aca="false">COUNTIFS('📚 All Words (Combined)'!$B:$B,"Part 1 — Foundations",'📚 All Words (Combined)'!$G:$G,"Question Words")</f>
        <v>11</v>
      </c>
      <c r="C32" s="49"/>
      <c r="D32" s="51" t="s">
        <v>53</v>
      </c>
    </row>
    <row r="33" customFormat="false" ht="15.75" hidden="false" customHeight="true" outlineLevel="0" collapsed="false">
      <c r="A33" s="49" t="s">
        <v>54</v>
      </c>
      <c r="B33" s="50" t="n">
        <f aca="false">COUNTIFS('📚 All Words (Combined)'!$B:$B,"Part 1 — Foundations",'📚 All Words (Combined)'!$G:$G,"Prepositions")</f>
        <v>16</v>
      </c>
      <c r="C33" s="49"/>
      <c r="D33" s="52" t="s">
        <v>55</v>
      </c>
    </row>
    <row r="34" customFormat="false" ht="15.75" hidden="false" customHeight="true" outlineLevel="0" collapsed="false">
      <c r="A34" s="49" t="s">
        <v>56</v>
      </c>
      <c r="B34" s="50" t="n">
        <f aca="false">COUNTIFS('📚 All Words (Combined)'!$B:$B,"Part 1 — Foundations",'📚 All Words (Combined)'!$G:$G,"Connectors")</f>
        <v>15</v>
      </c>
      <c r="C34" s="49"/>
      <c r="D34" s="51" t="s">
        <v>57</v>
      </c>
    </row>
    <row r="35" customFormat="false" ht="15.75" hidden="false" customHeight="true" outlineLevel="0" collapsed="false">
      <c r="A35" s="49" t="s">
        <v>58</v>
      </c>
      <c r="B35" s="50" t="n">
        <f aca="false">COUNTIFS('📚 All Words (Combined)'!$B:$B,"Part 1 — Foundations",'📚 All Words (Combined)'!$G:$G,"Food &amp; Drink")</f>
        <v>37</v>
      </c>
      <c r="C35" s="49"/>
      <c r="D35" s="51" t="s">
        <v>59</v>
      </c>
    </row>
    <row r="36" customFormat="false" ht="15.75" hidden="false" customHeight="true" outlineLevel="0" collapsed="false">
      <c r="A36" s="49" t="s">
        <v>60</v>
      </c>
      <c r="B36" s="50" t="n">
        <f aca="false">COUNTIFS('📚 All Words (Combined)'!$B:$B,"Part 1 — Foundations",'📚 All Words (Combined)'!$G:$G,"Transport")</f>
        <v>23</v>
      </c>
      <c r="C36" s="49"/>
      <c r="D36" s="51" t="s">
        <v>61</v>
      </c>
    </row>
    <row r="37" customFormat="false" ht="15.75" hidden="false" customHeight="true" outlineLevel="0" collapsed="false">
      <c r="A37" s="49" t="s">
        <v>62</v>
      </c>
      <c r="B37" s="50" t="n">
        <f aca="false">COUNTIFS('📚 All Words (Combined)'!$B:$B,"Part 1 — Foundations",'📚 All Words (Combined)'!$G:$G,"Places")</f>
        <v>36</v>
      </c>
      <c r="C37" s="49"/>
      <c r="D37" s="51" t="s">
        <v>63</v>
      </c>
    </row>
    <row r="38" customFormat="false" ht="15.75" hidden="false" customHeight="true" outlineLevel="0" collapsed="false">
      <c r="A38" s="49" t="s">
        <v>64</v>
      </c>
      <c r="B38" s="50" t="n">
        <f aca="false">COUNTIFS('📚 All Words (Combined)'!$B:$B,"Part 1 — Foundations",'📚 All Words (Combined)'!$G:$G,"Body &amp; Health")</f>
        <v>29</v>
      </c>
      <c r="C38" s="49"/>
      <c r="D38" s="51" t="s">
        <v>65</v>
      </c>
    </row>
    <row r="39" customFormat="false" ht="15.75" hidden="false" customHeight="true" outlineLevel="0" collapsed="false">
      <c r="A39" s="49" t="s">
        <v>66</v>
      </c>
      <c r="B39" s="50" t="n">
        <f aca="false">COUNTIFS('📚 All Words (Combined)'!$B:$B,"Part 1 — Foundations",'📚 All Words (Combined)'!$G:$G,"Shopping &amp; Money")</f>
        <v>20</v>
      </c>
      <c r="C39" s="49"/>
      <c r="D39" s="51" t="s">
        <v>67</v>
      </c>
    </row>
    <row r="40" customFormat="false" ht="15.75" hidden="false" customHeight="true" outlineLevel="0" collapsed="false">
      <c r="A40" s="49" t="s">
        <v>68</v>
      </c>
      <c r="B40" s="50" t="n">
        <f aca="false">COUNTIFS('📚 All Words (Combined)'!$B:$B,"Part 1 — Foundations",'📚 All Words (Combined)'!$G:$G,"Work &amp; Education")</f>
        <v>25</v>
      </c>
      <c r="C40" s="49"/>
      <c r="D40" s="51" t="s">
        <v>69</v>
      </c>
    </row>
    <row r="41" customFormat="false" ht="15.75" hidden="false" customHeight="true" outlineLevel="0" collapsed="false">
      <c r="A41" s="49" t="s">
        <v>70</v>
      </c>
      <c r="B41" s="50" t="n">
        <f aca="false">COUNTIFS('📚 All Words (Combined)'!$B:$B,"Part 1 — Foundations",'📚 All Words (Combined)'!$G:$G,"Technology")</f>
        <v>17</v>
      </c>
      <c r="C41" s="49"/>
      <c r="D41" s="51" t="s">
        <v>71</v>
      </c>
    </row>
    <row r="42" customFormat="false" ht="15.75" hidden="false" customHeight="true" outlineLevel="0" collapsed="false">
      <c r="A42" s="49" t="s">
        <v>72</v>
      </c>
      <c r="B42" s="50" t="n">
        <f aca="false">COUNTIFS('📚 All Words (Combined)'!$B:$B,"Part 1 — Foundations",'📚 All Words (Combined)'!$G:$G,"Nature")</f>
        <v>25</v>
      </c>
      <c r="C42" s="49"/>
      <c r="D42" s="51" t="s">
        <v>73</v>
      </c>
    </row>
    <row r="43" customFormat="false" ht="15.75" hidden="false" customHeight="true" outlineLevel="0" collapsed="false">
      <c r="A43" s="49" t="s">
        <v>74</v>
      </c>
      <c r="B43" s="50" t="n">
        <f aca="false">COUNTIFS('📚 All Words (Combined)'!$B:$B,"Part 1 — Foundations",'📚 All Words (Combined)'!$G:$G,"Feelings")</f>
        <v>13</v>
      </c>
      <c r="C43" s="49"/>
      <c r="D43" s="51" t="s">
        <v>75</v>
      </c>
    </row>
    <row r="44" customFormat="false" ht="15.75" hidden="false" customHeight="true" outlineLevel="0" collapsed="false">
      <c r="A44" s="49" t="s">
        <v>76</v>
      </c>
      <c r="B44" s="50" t="n">
        <f aca="false">COUNTIFS('📚 All Words (Combined)'!$B:$B,"Part 1 — Foundations",'📚 All Words (Combined)'!$G:$G,"Social &amp; Cultural")</f>
        <v>20</v>
      </c>
      <c r="C44" s="49"/>
      <c r="D44" s="51" t="s">
        <v>77</v>
      </c>
    </row>
    <row r="45" customFormat="false" ht="15.75" hidden="false" customHeight="true" outlineLevel="0" collapsed="false">
      <c r="A45" s="49" t="s">
        <v>78</v>
      </c>
      <c r="B45" s="50" t="n">
        <f aca="false">COUNTIFS('📚 All Words (Combined)'!$B:$B,"Part 1 — Foundations",'📚 All Words (Combined)'!$G:$G,"Adverbs")</f>
        <v>24</v>
      </c>
      <c r="C45" s="49"/>
      <c r="D45" s="51" t="s">
        <v>79</v>
      </c>
    </row>
    <row r="46" customFormat="false" ht="15.75" hidden="false" customHeight="true" outlineLevel="0" collapsed="false">
      <c r="A46" s="49" t="s">
        <v>80</v>
      </c>
      <c r="B46" s="50" t="n">
        <f aca="false">COUNTIFS('📚 All Words (Combined)'!$B:$B,"Part 1 — Foundations",'📚 All Words (Combined)'!$G:$G,"Clothes")</f>
        <v>14</v>
      </c>
      <c r="C46" s="49"/>
      <c r="D46" s="51" t="s">
        <v>81</v>
      </c>
    </row>
    <row r="47" customFormat="false" ht="15.75" hidden="false" customHeight="true" outlineLevel="0" collapsed="false">
      <c r="A47" s="49" t="s">
        <v>82</v>
      </c>
      <c r="B47" s="50" t="n">
        <f aca="false">COUNTIFS('📚 All Words (Combined)'!$B:$B,"Part 1 — Foundations",'📚 All Words (Combined)'!$G:$G,"Communication")</f>
        <v>13</v>
      </c>
      <c r="C47" s="49"/>
      <c r="D47" s="51" t="s">
        <v>83</v>
      </c>
    </row>
    <row r="48" customFormat="false" ht="15.75" hidden="false" customHeight="true" outlineLevel="0" collapsed="false">
      <c r="A48" s="49" t="s">
        <v>84</v>
      </c>
      <c r="B48" s="50" t="n">
        <f aca="false">COUNTIFS('📚 All Words (Combined)'!$B:$B,"Part 1 — Foundations",'📚 All Words (Combined)'!$G:$G,"Household")</f>
        <v>15</v>
      </c>
      <c r="C48" s="49"/>
      <c r="D48" s="53" t="s">
        <v>85</v>
      </c>
    </row>
    <row r="49" customFormat="false" ht="15.75" hidden="false" customHeight="true" outlineLevel="0" collapsed="false">
      <c r="A49" s="49" t="s">
        <v>86</v>
      </c>
      <c r="B49" s="50" t="n">
        <f aca="false">COUNTIFS('📚 All Words (Combined)'!$B:$B,"Part 1 — Foundations",'📚 All Words (Combined)'!$G:$G,"Abstract Concepts")</f>
        <v>32</v>
      </c>
      <c r="C49" s="49"/>
      <c r="D49" s="51" t="s">
        <v>87</v>
      </c>
    </row>
    <row r="50" customFormat="false" ht="15.75" hidden="false" customHeight="true" outlineLevel="0" collapsed="false">
      <c r="A50" s="49" t="s">
        <v>88</v>
      </c>
      <c r="B50" s="50" t="n">
        <f aca="false">COUNTIFS('📚 All Words (Combined)'!$B:$B,"Part 1 — Foundations",'📚 All Words (Combined)'!$G:$G,"Classifiers")</f>
        <v>11</v>
      </c>
      <c r="C50" s="49"/>
      <c r="D50" s="52" t="s">
        <v>89</v>
      </c>
    </row>
    <row r="51" customFormat="false" ht="15.75" hidden="false" customHeight="true" outlineLevel="0" collapsed="false">
      <c r="A51" s="49" t="s">
        <v>90</v>
      </c>
      <c r="B51" s="50" t="n">
        <f aca="false">COUNTIFS('📚 All Words (Combined)'!$B:$B,"Part 1 — Foundations",'📚 All Words (Combined)'!$G:$G,"Weather")</f>
        <v>7</v>
      </c>
      <c r="C51" s="49"/>
      <c r="D51" s="51" t="s">
        <v>91</v>
      </c>
    </row>
    <row r="52" customFormat="false" ht="15.75" hidden="false" customHeight="true" outlineLevel="0" collapsed="false">
      <c r="A52" s="49" t="s">
        <v>92</v>
      </c>
      <c r="B52" s="50" t="n">
        <f aca="false">COUNTIFS('📚 All Words (Combined)'!$B:$B,"Part 1 — Foundations",'📚 All Words (Combined)'!$G:$G,"Directions")</f>
        <v>11</v>
      </c>
      <c r="C52" s="49"/>
      <c r="D52" s="51" t="s">
        <v>93</v>
      </c>
    </row>
    <row r="53" customFormat="false" ht="15.75" hidden="false" customHeight="true" outlineLevel="0" collapsed="false">
      <c r="A53" s="49" t="s">
        <v>94</v>
      </c>
      <c r="B53" s="50" t="n">
        <f aca="false">COUNTIFS('📚 All Words (Combined)'!$B:$B,"Part 1 — Foundations",'📚 All Words (Combined)'!$G:$G,"Common Phrases")</f>
        <v>15</v>
      </c>
      <c r="C53" s="49"/>
      <c r="D53" s="51" t="s">
        <v>95</v>
      </c>
    </row>
    <row r="54" customFormat="false" ht="15" hidden="false" customHeight="false" outlineLevel="0" collapsed="false">
      <c r="A54" s="5" t="s">
        <v>96</v>
      </c>
      <c r="B54" s="6" t="n">
        <f aca="false">COUNTIF('📚 All Words (Combined)'!$B:$B,"Part 1 — Foundations")</f>
        <v>659</v>
      </c>
      <c r="C54" s="7"/>
      <c r="D54" s="7"/>
    </row>
    <row r="56" customFormat="false" ht="21.75" hidden="false" customHeight="true" outlineLevel="0" collapsed="false">
      <c r="A56" s="54" t="s">
        <v>97</v>
      </c>
      <c r="B56" s="54"/>
      <c r="C56" s="54"/>
      <c r="D56" s="54"/>
    </row>
    <row r="57" customFormat="false" ht="15" hidden="false" customHeight="false" outlineLevel="0" collapsed="false">
      <c r="A57" s="55" t="s">
        <v>98</v>
      </c>
      <c r="B57" s="55"/>
      <c r="C57" s="55"/>
      <c r="D57" s="55"/>
    </row>
    <row r="58" customFormat="false" ht="15" hidden="false" customHeight="false" outlineLevel="0" collapsed="false">
      <c r="A58" s="48" t="s">
        <v>38</v>
      </c>
      <c r="B58" s="48" t="s">
        <v>3</v>
      </c>
      <c r="C58" s="48"/>
      <c r="D58" s="48" t="s">
        <v>99</v>
      </c>
    </row>
    <row r="59" customFormat="false" ht="15.75" hidden="false" customHeight="true" outlineLevel="0" collapsed="false">
      <c r="A59" s="56" t="s">
        <v>100</v>
      </c>
      <c r="B59" s="57" t="n">
        <f aca="false">COUNTIFS('📚 All Words (Combined)'!$B:$B,"Part 2 — Intermediate",'📚 All Words (Combined)'!$G:$G,"Business &amp; Finance")</f>
        <v>40</v>
      </c>
      <c r="C59" s="56"/>
      <c r="D59" s="58" t="s">
        <v>101</v>
      </c>
    </row>
    <row r="60" customFormat="false" ht="15.75" hidden="false" customHeight="true" outlineLevel="0" collapsed="false">
      <c r="A60" s="56" t="s">
        <v>102</v>
      </c>
      <c r="B60" s="57" t="n">
        <f aca="false">COUNTIFS('📚 All Words (Combined)'!$B:$B,"Part 2 — Intermediate",'📚 All Words (Combined)'!$G:$G,"Legal &amp; Government")</f>
        <v>21</v>
      </c>
      <c r="C60" s="56"/>
      <c r="D60" s="59" t="s">
        <v>103</v>
      </c>
    </row>
    <row r="61" customFormat="false" ht="15.75" hidden="false" customHeight="true" outlineLevel="0" collapsed="false">
      <c r="A61" s="56" t="s">
        <v>104</v>
      </c>
      <c r="B61" s="57" t="n">
        <f aca="false">COUNTIFS('📚 All Words (Combined)'!$B:$B,"Part 2 — Intermediate",'📚 All Words (Combined)'!$G:$G,"Education Advanced")</f>
        <v>23</v>
      </c>
      <c r="C61" s="56"/>
      <c r="D61" s="59" t="s">
        <v>105</v>
      </c>
    </row>
    <row r="62" customFormat="false" ht="15.75" hidden="false" customHeight="true" outlineLevel="0" collapsed="false">
      <c r="A62" s="56" t="s">
        <v>106</v>
      </c>
      <c r="B62" s="57" t="n">
        <f aca="false">COUNTIFS('📚 All Words (Combined)'!$B:$B,"Part 2 — Intermediate",'📚 All Words (Combined)'!$G:$G,"Health &amp; Medical")</f>
        <v>25</v>
      </c>
      <c r="C62" s="56"/>
      <c r="D62" s="58" t="s">
        <v>107</v>
      </c>
    </row>
    <row r="63" customFormat="false" ht="15.75" hidden="false" customHeight="true" outlineLevel="0" collapsed="false">
      <c r="A63" s="56" t="s">
        <v>108</v>
      </c>
      <c r="B63" s="57" t="n">
        <f aca="false">COUNTIFS('📚 All Words (Combined)'!$B:$B,"Part 2 — Intermediate",'📚 All Words (Combined)'!$G:$G,"Food Advanced")</f>
        <v>30</v>
      </c>
      <c r="C63" s="56"/>
      <c r="D63" s="58" t="s">
        <v>109</v>
      </c>
    </row>
    <row r="64" customFormat="false" ht="15.75" hidden="false" customHeight="true" outlineLevel="0" collapsed="false">
      <c r="A64" s="56" t="s">
        <v>110</v>
      </c>
      <c r="B64" s="57" t="n">
        <f aca="false">COUNTIFS('📚 All Words (Combined)'!$B:$B,"Part 2 — Intermediate",'📚 All Words (Combined)'!$G:$G,"Housing")</f>
        <v>21</v>
      </c>
      <c r="C64" s="56"/>
      <c r="D64" s="58" t="s">
        <v>111</v>
      </c>
    </row>
    <row r="65" customFormat="false" ht="15.75" hidden="false" customHeight="true" outlineLevel="0" collapsed="false">
      <c r="A65" s="56" t="s">
        <v>112</v>
      </c>
      <c r="B65" s="57" t="n">
        <f aca="false">COUNTIFS('📚 All Words (Combined)'!$B:$B,"Part 2 — Intermediate",'📚 All Words (Combined)'!$G:$G,"Environment")</f>
        <v>14</v>
      </c>
      <c r="C65" s="56"/>
      <c r="D65" s="59" t="s">
        <v>113</v>
      </c>
    </row>
    <row r="66" customFormat="false" ht="15.75" hidden="false" customHeight="true" outlineLevel="0" collapsed="false">
      <c r="A66" s="56" t="s">
        <v>114</v>
      </c>
      <c r="B66" s="57" t="n">
        <f aca="false">COUNTIFS('📚 All Words (Combined)'!$B:$B,"Part 2 — Intermediate",'📚 All Words (Combined)'!$G:$G,"Sports &amp; Leisure")</f>
        <v>24</v>
      </c>
      <c r="C66" s="56"/>
      <c r="D66" s="59" t="s">
        <v>115</v>
      </c>
    </row>
    <row r="67" customFormat="false" ht="15.75" hidden="false" customHeight="true" outlineLevel="0" collapsed="false">
      <c r="A67" s="56" t="s">
        <v>116</v>
      </c>
      <c r="B67" s="57" t="n">
        <f aca="false">COUNTIFS('📚 All Words (Combined)'!$B:$B,"Part 2 — Intermediate",'📚 All Words (Combined)'!$G:$G,"Travel &amp; Tourism")</f>
        <v>20</v>
      </c>
      <c r="C67" s="56"/>
      <c r="D67" s="58" t="s">
        <v>117</v>
      </c>
    </row>
    <row r="68" customFormat="false" ht="15.75" hidden="false" customHeight="true" outlineLevel="0" collapsed="false">
      <c r="A68" s="56" t="s">
        <v>118</v>
      </c>
      <c r="B68" s="57" t="n">
        <f aca="false">COUNTIFS('📚 All Words (Combined)'!$B:$B,"Part 2 — Intermediate",'📚 All Words (Combined)'!$G:$G,"Relationships")</f>
        <v>24</v>
      </c>
      <c r="C68" s="56"/>
      <c r="D68" s="58" t="s">
        <v>119</v>
      </c>
    </row>
    <row r="69" customFormat="false" ht="15.75" hidden="false" customHeight="true" outlineLevel="0" collapsed="false">
      <c r="A69" s="56" t="s">
        <v>120</v>
      </c>
      <c r="B69" s="57" t="n">
        <f aca="false">COUNTIFS('📚 All Words (Combined)'!$B:$B,"Part 2 — Intermediate",'📚 All Words (Combined)'!$G:$G,"Media &amp; Entertainment")</f>
        <v>23</v>
      </c>
      <c r="C69" s="56"/>
      <c r="D69" s="59" t="s">
        <v>121</v>
      </c>
    </row>
    <row r="70" customFormat="false" ht="15.75" hidden="false" customHeight="true" outlineLevel="0" collapsed="false">
      <c r="A70" s="56" t="s">
        <v>122</v>
      </c>
      <c r="B70" s="57" t="n">
        <f aca="false">COUNTIFS('📚 All Words (Combined)'!$B:$B,"Part 2 — Intermediate",'📚 All Words (Combined)'!$G:$G,"Technology Advanced")</f>
        <v>22</v>
      </c>
      <c r="C70" s="56"/>
      <c r="D70" s="58" t="s">
        <v>123</v>
      </c>
    </row>
    <row r="71" customFormat="false" ht="15.75" hidden="false" customHeight="true" outlineLevel="0" collapsed="false">
      <c r="A71" s="56" t="s">
        <v>124</v>
      </c>
      <c r="B71" s="57" t="n">
        <f aca="false">COUNTIFS('📚 All Words (Combined)'!$B:$B,"Part 2 — Intermediate",'📚 All Words (Combined)'!$G:$G,"Science")</f>
        <v>20</v>
      </c>
      <c r="C71" s="56"/>
      <c r="D71" s="59" t="s">
        <v>125</v>
      </c>
    </row>
    <row r="72" customFormat="false" ht="15.75" hidden="false" customHeight="true" outlineLevel="0" collapsed="false">
      <c r="A72" s="56" t="s">
        <v>126</v>
      </c>
      <c r="B72" s="57" t="n">
        <f aca="false">COUNTIFS('📚 All Words (Combined)'!$B:$B,"Part 2 — Intermediate",'📚 All Words (Combined)'!$G:$G,"Abstract Advanced")</f>
        <v>27</v>
      </c>
      <c r="C72" s="56"/>
      <c r="D72" s="58" t="s">
        <v>127</v>
      </c>
    </row>
    <row r="73" customFormat="false" ht="15.75" hidden="false" customHeight="true" outlineLevel="0" collapsed="false">
      <c r="A73" s="56" t="s">
        <v>128</v>
      </c>
      <c r="B73" s="57" t="n">
        <f aca="false">COUNTIFS('📚 All Words (Combined)'!$B:$B,"Part 2 — Intermediate",'📚 All Words (Combined)'!$G:$G,"Expressions")</f>
        <v>20</v>
      </c>
      <c r="C73" s="56"/>
      <c r="D73" s="58" t="s">
        <v>129</v>
      </c>
    </row>
    <row r="74" customFormat="false" ht="15.75" hidden="false" customHeight="true" outlineLevel="0" collapsed="false">
      <c r="A74" s="56" t="s">
        <v>130</v>
      </c>
      <c r="B74" s="57" t="n">
        <f aca="false">COUNTIFS('📚 All Words (Combined)'!$B:$B,"Part 2 — Intermediate",'📚 All Words (Combined)'!$G:$G,"Vietnamese Culture")</f>
        <v>20</v>
      </c>
      <c r="C74" s="56"/>
      <c r="D74" s="58" t="s">
        <v>131</v>
      </c>
    </row>
    <row r="75" customFormat="false" ht="15.75" hidden="false" customHeight="true" outlineLevel="0" collapsed="false">
      <c r="A75" s="56" t="s">
        <v>132</v>
      </c>
      <c r="B75" s="57" t="n">
        <f aca="false">COUNTIFS('📚 All Words (Combined)'!$B:$B,"Part 2 — Intermediate",'📚 All Words (Combined)'!$G:$G,"More Verbs")</f>
        <v>49</v>
      </c>
      <c r="C75" s="56"/>
      <c r="D75" s="58" t="s">
        <v>133</v>
      </c>
    </row>
    <row r="76" customFormat="false" ht="15.75" hidden="false" customHeight="true" outlineLevel="0" collapsed="false">
      <c r="A76" s="56" t="s">
        <v>134</v>
      </c>
      <c r="B76" s="57" t="n">
        <f aca="false">COUNTIFS('📚 All Words (Combined)'!$B:$B,"Part 2 — Intermediate",'📚 All Words (Combined)'!$G:$G,"More Adjectives")</f>
        <v>34</v>
      </c>
      <c r="C76" s="56"/>
      <c r="D76" s="58" t="s">
        <v>135</v>
      </c>
    </row>
    <row r="77" customFormat="false" ht="15.75" hidden="false" customHeight="true" outlineLevel="0" collapsed="false">
      <c r="A77" s="56" t="s">
        <v>136</v>
      </c>
      <c r="B77" s="57" t="n">
        <f aca="false">COUNTIFS('📚 All Words (Combined)'!$B:$B,"Part 2 — Intermediate",'📚 All Words (Combined)'!$G:$G,"More Nouns")</f>
        <v>35</v>
      </c>
      <c r="C77" s="56"/>
      <c r="D77" s="58" t="s">
        <v>137</v>
      </c>
    </row>
    <row r="78" customFormat="false" ht="15.75" hidden="false" customHeight="true" outlineLevel="0" collapsed="false">
      <c r="A78" s="56" t="s">
        <v>138</v>
      </c>
      <c r="B78" s="57" t="n">
        <f aca="false">COUNTIFS('📚 All Words (Combined)'!$B:$B,"Part 2 — Intermediate",'📚 All Words (Combined)'!$G:$G,"Grammar &amp; Particles")</f>
        <v>32</v>
      </c>
      <c r="C78" s="56"/>
      <c r="D78" s="52" t="s">
        <v>139</v>
      </c>
    </row>
    <row r="79" customFormat="false" ht="15" hidden="false" customHeight="false" outlineLevel="0" collapsed="false">
      <c r="A79" s="9" t="s">
        <v>140</v>
      </c>
      <c r="B79" s="10" t="n">
        <f aca="false">COUNTIF('📚 All Words (Combined)'!$B:$B,"Part 2 — Intermediate")</f>
        <v>524</v>
      </c>
      <c r="C79" s="11"/>
      <c r="D79" s="11"/>
    </row>
    <row r="81" customFormat="false" ht="21.75" hidden="false" customHeight="true" outlineLevel="0" collapsed="false">
      <c r="A81" s="60" t="s">
        <v>141</v>
      </c>
      <c r="B81" s="60"/>
      <c r="C81" s="60"/>
      <c r="D81" s="60"/>
    </row>
    <row r="82" customFormat="false" ht="15" hidden="false" customHeight="false" outlineLevel="0" collapsed="false">
      <c r="A82" s="61" t="s">
        <v>142</v>
      </c>
      <c r="B82" s="61"/>
      <c r="C82" s="61"/>
      <c r="D82" s="61"/>
    </row>
    <row r="83" customFormat="false" ht="15" hidden="false" customHeight="false" outlineLevel="0" collapsed="false">
      <c r="A83" s="48" t="s">
        <v>38</v>
      </c>
      <c r="B83" s="48" t="s">
        <v>3</v>
      </c>
      <c r="C83" s="48"/>
      <c r="D83" s="48" t="s">
        <v>143</v>
      </c>
    </row>
    <row r="84" customFormat="false" ht="15.75" hidden="false" customHeight="true" outlineLevel="0" collapsed="false">
      <c r="A84" s="62" t="s">
        <v>144</v>
      </c>
      <c r="B84" s="63" t="n">
        <f aca="false">COUNTIFS('📚 All Words (Combined)'!$B:$B,"Part 3 — Advanced",'📚 All Words (Combined)'!$G:$G,"Idioms &amp; Proverbs")</f>
        <v>16</v>
      </c>
      <c r="C84" s="62"/>
      <c r="D84" s="58" t="s">
        <v>145</v>
      </c>
    </row>
    <row r="85" customFormat="false" ht="15.75" hidden="false" customHeight="true" outlineLevel="0" collapsed="false">
      <c r="A85" s="62" t="s">
        <v>146</v>
      </c>
      <c r="B85" s="63" t="n">
        <f aca="false">COUNTIFS('📚 All Words (Combined)'!$B:$B,"Part 3 — Advanced",'📚 All Words (Combined)'!$G:$G,"Formal Writing")</f>
        <v>17</v>
      </c>
      <c r="C85" s="62"/>
      <c r="D85" s="58" t="s">
        <v>147</v>
      </c>
    </row>
    <row r="86" customFormat="false" ht="15.75" hidden="false" customHeight="true" outlineLevel="0" collapsed="false">
      <c r="A86" s="62" t="s">
        <v>148</v>
      </c>
      <c r="B86" s="63" t="n">
        <f aca="false">COUNTIFS('📚 All Words (Combined)'!$B:$B,"Part 3 — Advanced",'📚 All Words (Combined)'!$G:$G,"Spoken Southern")</f>
        <v>20</v>
      </c>
      <c r="C86" s="62"/>
      <c r="D86" s="52" t="s">
        <v>149</v>
      </c>
    </row>
    <row r="87" customFormat="false" ht="15.75" hidden="false" customHeight="true" outlineLevel="0" collapsed="false">
      <c r="A87" s="62" t="s">
        <v>150</v>
      </c>
      <c r="B87" s="63" t="n">
        <f aca="false">COUNTIFS('📚 All Words (Combined)'!$B:$B,"Part 3 — Advanced",'📚 All Words (Combined)'!$G:$G,"Opinion &amp; Debate")</f>
        <v>20</v>
      </c>
      <c r="C87" s="62"/>
      <c r="D87" s="58" t="s">
        <v>151</v>
      </c>
    </row>
    <row r="88" customFormat="false" ht="15.75" hidden="false" customHeight="true" outlineLevel="0" collapsed="false">
      <c r="A88" s="62" t="s">
        <v>152</v>
      </c>
      <c r="B88" s="63" t="n">
        <f aca="false">COUNTIFS('📚 All Words (Combined)'!$B:$B,"Part 3 — Advanced",'📚 All Words (Combined)'!$G:$G,"Numbers &amp; Math")</f>
        <v>23</v>
      </c>
      <c r="C88" s="62"/>
      <c r="D88" s="59" t="s">
        <v>153</v>
      </c>
    </row>
    <row r="89" customFormat="false" ht="15.75" hidden="false" customHeight="true" outlineLevel="0" collapsed="false">
      <c r="A89" s="62" t="s">
        <v>154</v>
      </c>
      <c r="B89" s="63" t="n">
        <f aca="false">COUNTIFS('📚 All Words (Combined)'!$B:$B,"Part 3 — Advanced",'📚 All Words (Combined)'!$G:$G,"Measurements")</f>
        <v>14</v>
      </c>
      <c r="C89" s="62"/>
      <c r="D89" s="59" t="s">
        <v>155</v>
      </c>
    </row>
    <row r="90" customFormat="false" ht="15.75" hidden="false" customHeight="true" outlineLevel="0" collapsed="false">
      <c r="A90" s="62" t="s">
        <v>156</v>
      </c>
      <c r="B90" s="63" t="n">
        <f aca="false">COUNTIFS('📚 All Words (Combined)'!$B:$B,"Part 3 — Advanced",'📚 All Words (Combined)'!$G:$G,"Calendar &amp; Dates")</f>
        <v>19</v>
      </c>
      <c r="C90" s="62"/>
      <c r="D90" s="58" t="s">
        <v>157</v>
      </c>
    </row>
    <row r="91" customFormat="false" ht="15.75" hidden="false" customHeight="true" outlineLevel="0" collapsed="false">
      <c r="A91" s="62" t="s">
        <v>158</v>
      </c>
      <c r="B91" s="63" t="n">
        <f aca="false">COUNTIFS('📚 All Words (Combined)'!$B:$B,"Part 3 — Advanced",'📚 All Words (Combined)'!$G:$G,"Vietnam Geography")</f>
        <v>16</v>
      </c>
      <c r="C91" s="62"/>
      <c r="D91" s="58" t="s">
        <v>159</v>
      </c>
    </row>
    <row r="92" customFormat="false" ht="15.75" hidden="false" customHeight="true" outlineLevel="0" collapsed="false">
      <c r="A92" s="62" t="s">
        <v>160</v>
      </c>
      <c r="B92" s="63" t="n">
        <f aca="false">COUNTIFS('📚 All Words (Combined)'!$B:$B,"Part 3 — Advanced",'📚 All Words (Combined)'!$G:$G,"Politics &amp; Society")</f>
        <v>20</v>
      </c>
      <c r="C92" s="62"/>
      <c r="D92" s="59" t="s">
        <v>161</v>
      </c>
    </row>
    <row r="93" customFormat="false" ht="15.75" hidden="false" customHeight="true" outlineLevel="0" collapsed="false">
      <c r="A93" s="62" t="s">
        <v>162</v>
      </c>
      <c r="B93" s="63" t="n">
        <f aca="false">COUNTIFS('📚 All Words (Combined)'!$B:$B,"Part 3 — Advanced",'📚 All Words (Combined)'!$G:$G,"Economics")</f>
        <v>16</v>
      </c>
      <c r="C93" s="62"/>
      <c r="D93" s="58" t="s">
        <v>163</v>
      </c>
    </row>
    <row r="94" customFormat="false" ht="15.75" hidden="false" customHeight="true" outlineLevel="0" collapsed="false">
      <c r="A94" s="62" t="s">
        <v>164</v>
      </c>
      <c r="B94" s="63" t="n">
        <f aca="false">COUNTIFS('📚 All Words (Combined)'!$B:$B,"Part 3 — Advanced",'📚 All Words (Combined)'!$G:$G,"Urban Life HCMC")</f>
        <v>20</v>
      </c>
      <c r="C94" s="62"/>
      <c r="D94" s="52" t="s">
        <v>165</v>
      </c>
    </row>
    <row r="95" customFormat="false" ht="15.75" hidden="false" customHeight="true" outlineLevel="0" collapsed="false">
      <c r="A95" s="62" t="s">
        <v>166</v>
      </c>
      <c r="B95" s="63" t="n">
        <f aca="false">COUNTIFS('📚 All Words (Combined)'!$B:$B,"Part 3 — Advanced",'📚 All Words (Combined)'!$G:$G,"Digital &amp; Slang")</f>
        <v>18</v>
      </c>
      <c r="C95" s="62"/>
      <c r="D95" s="58" t="s">
        <v>167</v>
      </c>
    </row>
    <row r="96" customFormat="false" ht="15.75" hidden="false" customHeight="true" outlineLevel="0" collapsed="false">
      <c r="A96" s="62" t="s">
        <v>168</v>
      </c>
      <c r="B96" s="63" t="n">
        <f aca="false">COUNTIFS('📚 All Words (Combined)'!$B:$B,"Part 3 — Advanced",'📚 All Words (Combined)'!$G:$G,"Food Culture Southern")</f>
        <v>20</v>
      </c>
      <c r="C96" s="62"/>
      <c r="D96" s="58" t="s">
        <v>169</v>
      </c>
    </row>
    <row r="97" customFormat="false" ht="15.75" hidden="false" customHeight="true" outlineLevel="0" collapsed="false">
      <c r="A97" s="62" t="s">
        <v>170</v>
      </c>
      <c r="B97" s="63" t="n">
        <f aca="false">COUNTIFS('📚 All Words (Combined)'!$B:$B,"Part 3 — Advanced",'📚 All Words (Combined)'!$G:$G,"Politeness &amp; Etiquette")</f>
        <v>15</v>
      </c>
      <c r="C97" s="62"/>
      <c r="D97" s="58" t="s">
        <v>171</v>
      </c>
    </row>
    <row r="98" customFormat="false" ht="15.75" hidden="false" customHeight="true" outlineLevel="0" collapsed="false">
      <c r="A98" s="62" t="s">
        <v>172</v>
      </c>
      <c r="B98" s="63" t="n">
        <f aca="false">COUNTIFS('📚 All Words (Combined)'!$B:$B,"Part 3 — Advanced",'📚 All Words (Combined)'!$G:$G,"Health &amp; Wellness")</f>
        <v>15</v>
      </c>
      <c r="C98" s="62"/>
      <c r="D98" s="59" t="s">
        <v>173</v>
      </c>
    </row>
    <row r="99" customFormat="false" ht="15.75" hidden="false" customHeight="true" outlineLevel="0" collapsed="false">
      <c r="A99" s="62" t="s">
        <v>174</v>
      </c>
      <c r="B99" s="63" t="n">
        <f aca="false">COUNTIFS('📚 All Words (Combined)'!$B:$B,"Part 3 — Advanced",'📚 All Words (Combined)'!$G:$G,"Arts &amp; Literature")</f>
        <v>20</v>
      </c>
      <c r="C99" s="62"/>
      <c r="D99" s="59" t="s">
        <v>175</v>
      </c>
    </row>
    <row r="100" customFormat="false" ht="15.75" hidden="false" customHeight="true" outlineLevel="0" collapsed="false">
      <c r="A100" s="62" t="s">
        <v>176</v>
      </c>
      <c r="B100" s="63" t="n">
        <f aca="false">COUNTIFS('📚 All Words (Combined)'!$B:$B,"Part 3 — Advanced",'📚 All Words (Combined)'!$G:$G,"Discourse Markers")</f>
        <v>20</v>
      </c>
      <c r="C100" s="62"/>
      <c r="D100" s="52" t="s">
        <v>177</v>
      </c>
    </row>
    <row r="101" customFormat="false" ht="15.75" hidden="false" customHeight="true" outlineLevel="0" collapsed="false">
      <c r="A101" s="62" t="s">
        <v>178</v>
      </c>
      <c r="B101" s="63" t="n">
        <f aca="false">COUNTIFS('📚 All Words (Combined)'!$B:$B,"Part 3 — Advanced",'📚 All Words (Combined)'!$G:$G,"Conditional")</f>
        <v>10</v>
      </c>
      <c r="C101" s="62"/>
      <c r="D101" s="58" t="s">
        <v>179</v>
      </c>
    </row>
    <row r="102" customFormat="false" ht="15.75" hidden="false" customHeight="true" outlineLevel="0" collapsed="false">
      <c r="A102" s="62" t="s">
        <v>180</v>
      </c>
      <c r="B102" s="63" t="n">
        <f aca="false">COUNTIFS('📚 All Words (Combined)'!$B:$B,"Part 3 — Advanced",'📚 All Words (Combined)'!$G:$G,"Verb Phrases")</f>
        <v>20</v>
      </c>
      <c r="C102" s="62"/>
      <c r="D102" s="58" t="s">
        <v>181</v>
      </c>
    </row>
    <row r="103" customFormat="false" ht="15" hidden="false" customHeight="false" outlineLevel="0" collapsed="false">
      <c r="A103" s="13" t="s">
        <v>182</v>
      </c>
      <c r="B103" s="14" t="n">
        <f aca="false">COUNTIF('📚 All Words (Combined)'!$B:$B,"Part 3 — Advanced")</f>
        <v>339</v>
      </c>
      <c r="C103" s="15"/>
      <c r="D103" s="15"/>
    </row>
    <row r="105" customFormat="false" ht="21.75" hidden="false" customHeight="true" outlineLevel="0" collapsed="false">
      <c r="A105" s="64" t="s">
        <v>183</v>
      </c>
      <c r="B105" s="64"/>
      <c r="C105" s="64"/>
      <c r="D105" s="64"/>
    </row>
    <row r="106" customFormat="false" ht="15" hidden="false" customHeight="false" outlineLevel="0" collapsed="false">
      <c r="A106" s="65" t="s">
        <v>184</v>
      </c>
      <c r="B106" s="65"/>
      <c r="C106" s="65"/>
      <c r="D106" s="65"/>
    </row>
    <row r="107" customFormat="false" ht="15" hidden="false" customHeight="false" outlineLevel="0" collapsed="false">
      <c r="A107" s="48" t="s">
        <v>38</v>
      </c>
      <c r="B107" s="48" t="s">
        <v>3</v>
      </c>
      <c r="C107" s="48"/>
      <c r="D107" s="48" t="s">
        <v>185</v>
      </c>
    </row>
    <row r="108" customFormat="false" ht="15.75" hidden="false" customHeight="true" outlineLevel="0" collapsed="false">
      <c r="A108" s="66" t="s">
        <v>186</v>
      </c>
      <c r="B108" s="67" t="n">
        <f aca="false">COUNTIFS('📚 All Words (Combined)'!$B:$B,"Part 4 — Completion",'📚 All Words (Combined)'!$G:$G,"Personality &amp; Character")</f>
        <v>24</v>
      </c>
      <c r="C108" s="66"/>
      <c r="D108" s="58" t="s">
        <v>187</v>
      </c>
    </row>
    <row r="109" customFormat="false" ht="15.75" hidden="false" customHeight="true" outlineLevel="0" collapsed="false">
      <c r="A109" s="66" t="s">
        <v>188</v>
      </c>
      <c r="B109" s="67" t="n">
        <f aca="false">COUNTIFS('📚 All Words (Combined)'!$B:$B,"Part 4 — Completion",'📚 All Words (Combined)'!$G:$G,"Cause &amp; Effect")</f>
        <v>14</v>
      </c>
      <c r="C109" s="66"/>
      <c r="D109" s="58" t="s">
        <v>189</v>
      </c>
    </row>
    <row r="110" customFormat="false" ht="15.75" hidden="false" customHeight="true" outlineLevel="0" collapsed="false">
      <c r="A110" s="66" t="s">
        <v>190</v>
      </c>
      <c r="B110" s="67" t="n">
        <f aca="false">COUNTIFS('📚 All Words (Combined)'!$B:$B,"Part 4 — Completion",'📚 All Words (Combined)'!$G:$G,"Comparison &amp; Contrast")</f>
        <v>14</v>
      </c>
      <c r="C110" s="66"/>
      <c r="D110" s="58" t="s">
        <v>191</v>
      </c>
    </row>
    <row r="111" customFormat="false" ht="15.75" hidden="false" customHeight="true" outlineLevel="0" collapsed="false">
      <c r="A111" s="66" t="s">
        <v>192</v>
      </c>
      <c r="B111" s="67" t="n">
        <f aca="false">COUNTIFS('📚 All Words (Combined)'!$B:$B,"Part 4 — Completion",'📚 All Words (Combined)'!$G:$G,"Academic Writing")</f>
        <v>15</v>
      </c>
      <c r="C111" s="66"/>
      <c r="D111" s="58" t="s">
        <v>193</v>
      </c>
    </row>
    <row r="112" customFormat="false" ht="15.75" hidden="false" customHeight="true" outlineLevel="0" collapsed="false">
      <c r="A112" s="66" t="s">
        <v>194</v>
      </c>
      <c r="B112" s="67" t="n">
        <f aca="false">COUNTIFS('📚 All Words (Combined)'!$B:$B,"Part 4 — Completion",'📚 All Words (Combined)'!$G:$G,"Describing Change")</f>
        <v>14</v>
      </c>
      <c r="C112" s="66"/>
      <c r="D112" s="58" t="s">
        <v>195</v>
      </c>
    </row>
    <row r="113" customFormat="false" ht="15.75" hidden="false" customHeight="true" outlineLevel="0" collapsed="false">
      <c r="A113" s="66" t="s">
        <v>196</v>
      </c>
      <c r="B113" s="67" t="n">
        <f aca="false">COUNTIFS('📚 All Words (Combined)'!$B:$B,"Part 4 — Completion",'📚 All Words (Combined)'!$G:$G,"Negation &amp; Emphasis")</f>
        <v>13</v>
      </c>
      <c r="C113" s="66"/>
      <c r="D113" s="58" t="s">
        <v>197</v>
      </c>
    </row>
    <row r="114" customFormat="false" ht="15.75" hidden="false" customHeight="true" outlineLevel="0" collapsed="false">
      <c r="A114" s="66" t="s">
        <v>198</v>
      </c>
      <c r="B114" s="67" t="n">
        <f aca="false">COUNTIFS('📚 All Words (Combined)'!$B:$B,"Part 4 — Completion",'📚 All Words (Combined)'!$G:$G,"Problem Solving")</f>
        <v>14</v>
      </c>
      <c r="C114" s="66"/>
      <c r="D114" s="58" t="s">
        <v>199</v>
      </c>
    </row>
    <row r="115" customFormat="false" ht="15.75" hidden="false" customHeight="true" outlineLevel="0" collapsed="false">
      <c r="A115" s="66" t="s">
        <v>200</v>
      </c>
      <c r="B115" s="67" t="n">
        <f aca="false">COUNTIFS('📚 All Words (Combined)'!$B:$B,"Part 4 — Completion",'📚 All Words (Combined)'!$G:$G,"Animals Extended")</f>
        <v>26</v>
      </c>
      <c r="C115" s="66"/>
      <c r="D115" s="59" t="s">
        <v>201</v>
      </c>
    </row>
    <row r="116" customFormat="false" ht="15.75" hidden="false" customHeight="true" outlineLevel="0" collapsed="false">
      <c r="A116" s="66" t="s">
        <v>202</v>
      </c>
      <c r="B116" s="67" t="n">
        <f aca="false">COUNTIFS('📚 All Words (Combined)'!$B:$B,"Part 4 — Completion",'📚 All Words (Combined)'!$G:$G,"Weather Extended")</f>
        <v>12</v>
      </c>
      <c r="C116" s="66"/>
      <c r="D116" s="59" t="s">
        <v>203</v>
      </c>
    </row>
    <row r="117" customFormat="false" ht="15.75" hidden="false" customHeight="true" outlineLevel="0" collapsed="false">
      <c r="A117" s="66" t="s">
        <v>204</v>
      </c>
      <c r="B117" s="67" t="n">
        <f aca="false">COUNTIFS('📚 All Words (Combined)'!$B:$B,"Part 4 — Completion",'📚 All Words (Combined)'!$G:$G,"Clothes Extended")</f>
        <v>20</v>
      </c>
      <c r="C117" s="66"/>
      <c r="D117" s="59" t="s">
        <v>205</v>
      </c>
    </row>
    <row r="118" customFormat="false" ht="15.75" hidden="false" customHeight="true" outlineLevel="0" collapsed="false">
      <c r="A118" s="66" t="s">
        <v>206</v>
      </c>
      <c r="B118" s="67" t="n">
        <f aca="false">COUNTIFS('📚 All Words (Combined)'!$B:$B,"Part 4 — Completion",'📚 All Words (Combined)'!$G:$G,"Home &amp; Interior")</f>
        <v>20</v>
      </c>
      <c r="C118" s="66"/>
      <c r="D118" s="58" t="s">
        <v>207</v>
      </c>
    </row>
    <row r="119" customFormat="false" ht="15.75" hidden="false" customHeight="true" outlineLevel="0" collapsed="false">
      <c r="A119" s="66" t="s">
        <v>208</v>
      </c>
      <c r="B119" s="67" t="n">
        <f aca="false">COUNTIFS('📚 All Words (Combined)'!$B:$B,"Part 4 — Completion",'📚 All Words (Combined)'!$G:$G,"Language Extended")</f>
        <v>20</v>
      </c>
      <c r="C119" s="66"/>
      <c r="D119" s="58" t="s">
        <v>209</v>
      </c>
    </row>
    <row r="120" customFormat="false" ht="15.75" hidden="false" customHeight="true" outlineLevel="0" collapsed="false">
      <c r="A120" s="66" t="s">
        <v>210</v>
      </c>
      <c r="B120" s="67" t="n">
        <f aca="false">COUNTIFS('📚 All Words (Combined)'!$B:$B,"Part 4 — Completion",'📚 All Words (Combined)'!$G:$G,"Transport &amp; Logistics")</f>
        <v>15</v>
      </c>
      <c r="C120" s="66"/>
      <c r="D120" s="59" t="s">
        <v>211</v>
      </c>
    </row>
    <row r="121" customFormat="false" ht="15.75" hidden="false" customHeight="true" outlineLevel="0" collapsed="false">
      <c r="A121" s="66" t="s">
        <v>212</v>
      </c>
      <c r="B121" s="67" t="n">
        <f aca="false">COUNTIFS('📚 All Words (Combined)'!$B:$B,"Part 4 — Completion",'📚 All Words (Combined)'!$G:$G,"Emotions Extended")</f>
        <v>18</v>
      </c>
      <c r="C121" s="66"/>
      <c r="D121" s="58" t="s">
        <v>213</v>
      </c>
    </row>
    <row r="122" customFormat="false" ht="15.75" hidden="false" customHeight="true" outlineLevel="0" collapsed="false">
      <c r="A122" s="66" t="s">
        <v>214</v>
      </c>
      <c r="B122" s="67" t="n">
        <f aca="false">COUNTIFS('📚 All Words (Combined)'!$B:$B,"Part 4 — Completion",'📚 All Words (Combined)'!$G:$G,"Vietnamese Numbers")</f>
        <v>15</v>
      </c>
      <c r="C122" s="66"/>
      <c r="D122" s="58" t="s">
        <v>215</v>
      </c>
    </row>
    <row r="123" customFormat="false" ht="15.75" hidden="false" customHeight="true" outlineLevel="0" collapsed="false">
      <c r="A123" s="66" t="s">
        <v>216</v>
      </c>
      <c r="B123" s="67" t="n">
        <f aca="false">COUNTIFS('📚 All Words (Combined)'!$B:$B,"Part 4 — Completion",'📚 All Words (Combined)'!$G:$G,"High Frequency")</f>
        <v>30</v>
      </c>
      <c r="C123" s="66"/>
      <c r="D123" s="52" t="s">
        <v>217</v>
      </c>
    </row>
    <row r="124" customFormat="false" ht="15" hidden="false" customHeight="false" outlineLevel="0" collapsed="false">
      <c r="A124" s="17" t="s">
        <v>218</v>
      </c>
      <c r="B124" s="18" t="n">
        <f aca="false">COUNTIF('📚 All Words (Combined)'!$B:$B,"Part 4 — Completion")</f>
        <v>284</v>
      </c>
      <c r="C124" s="19"/>
      <c r="D124" s="19"/>
    </row>
    <row r="126" customFormat="false" ht="21.75" hidden="false" customHeight="true" outlineLevel="0" collapsed="false">
      <c r="A126" s="68" t="s">
        <v>219</v>
      </c>
      <c r="B126" s="68"/>
      <c r="C126" s="68"/>
      <c r="D126" s="68"/>
    </row>
    <row r="127" customFormat="false" ht="15" hidden="false" customHeight="false" outlineLevel="0" collapsed="false">
      <c r="A127" s="69" t="s">
        <v>220</v>
      </c>
      <c r="B127" s="69"/>
      <c r="C127" s="69"/>
      <c r="D127" s="69"/>
    </row>
    <row r="128" customFormat="false" ht="15" hidden="false" customHeight="false" outlineLevel="0" collapsed="false">
      <c r="A128" s="48" t="s">
        <v>38</v>
      </c>
      <c r="B128" s="48" t="s">
        <v>3</v>
      </c>
      <c r="C128" s="48"/>
      <c r="D128" s="48" t="s">
        <v>185</v>
      </c>
    </row>
    <row r="129" customFormat="false" ht="15.75" hidden="false" customHeight="true" outlineLevel="0" collapsed="false">
      <c r="A129" s="70" t="s">
        <v>221</v>
      </c>
      <c r="B129" s="71" t="n">
        <f aca="false">COUNTIFS('📚 All Words (Combined)'!$B:$B,"Part 5 — Final",'📚 All Words (Combined)'!$G:$G,"Work &amp; Office")</f>
        <v>20</v>
      </c>
      <c r="C129" s="70"/>
      <c r="D129" s="52" t="s">
        <v>222</v>
      </c>
    </row>
    <row r="130" customFormat="false" ht="15.75" hidden="false" customHeight="true" outlineLevel="0" collapsed="false">
      <c r="A130" s="70" t="s">
        <v>223</v>
      </c>
      <c r="B130" s="71" t="n">
        <f aca="false">COUNTIFS('📚 All Words (Combined)'!$B:$B,"Part 5 — Final",'📚 All Words (Combined)'!$G:$G,"Shopping &amp; Bargaining")</f>
        <v>15</v>
      </c>
      <c r="C130" s="70"/>
      <c r="D130" s="58" t="s">
        <v>224</v>
      </c>
    </row>
    <row r="131" customFormat="false" ht="15.75" hidden="false" customHeight="true" outlineLevel="0" collapsed="false">
      <c r="A131" s="70" t="s">
        <v>225</v>
      </c>
      <c r="B131" s="71" t="n">
        <f aca="false">COUNTIFS('📚 All Words (Combined)'!$B:$B,"Part 5 — Final",'📚 All Words (Combined)'!$G:$G,"Vietnam Apps &amp; Internet")</f>
        <v>12</v>
      </c>
      <c r="C131" s="70"/>
      <c r="D131" s="58" t="s">
        <v>226</v>
      </c>
    </row>
    <row r="132" customFormat="false" ht="15.75" hidden="false" customHeight="true" outlineLevel="0" collapsed="false">
      <c r="A132" s="70" t="s">
        <v>227</v>
      </c>
      <c r="B132" s="71" t="n">
        <f aca="false">COUNTIFS('📚 All Words (Combined)'!$B:$B,"Part 5 — Final",'📚 All Words (Combined)'!$G:$G,"Banking &amp; Finance")</f>
        <v>10</v>
      </c>
      <c r="C132" s="70"/>
      <c r="D132" s="58" t="s">
        <v>228</v>
      </c>
    </row>
    <row r="133" customFormat="false" ht="15.75" hidden="false" customHeight="true" outlineLevel="0" collapsed="false">
      <c r="A133" s="70" t="s">
        <v>229</v>
      </c>
      <c r="B133" s="71" t="n">
        <f aca="false">COUNTIFS('📚 All Words (Combined)'!$B:$B,"Part 5 — Final",'📚 All Words (Combined)'!$G:$G,"Southern Phrases")</f>
        <v>20</v>
      </c>
      <c r="C133" s="70"/>
      <c r="D133" s="52" t="s">
        <v>230</v>
      </c>
    </row>
    <row r="134" customFormat="false" ht="15.75" hidden="false" customHeight="true" outlineLevel="0" collapsed="false">
      <c r="A134" s="70" t="s">
        <v>231</v>
      </c>
      <c r="B134" s="71" t="n">
        <f aca="false">COUNTIFS('📚 All Words (Combined)'!$B:$B,"Part 5 — Final",'📚 All Words (Combined)'!$G:$G,"Connectors Advanced")</f>
        <v>15</v>
      </c>
      <c r="C134" s="70"/>
      <c r="D134" s="58" t="s">
        <v>232</v>
      </c>
    </row>
    <row r="135" customFormat="false" ht="15.75" hidden="false" customHeight="true" outlineLevel="0" collapsed="false">
      <c r="A135" s="70" t="s">
        <v>233</v>
      </c>
      <c r="B135" s="71" t="n">
        <f aca="false">COUNTIFS('📚 All Words (Combined)'!$B:$B,"Part 5 — Final",'📚 All Words (Combined)'!$G:$G,"Tones &amp; Pronunciation")</f>
        <v>14</v>
      </c>
      <c r="C135" s="70"/>
      <c r="D135" s="52" t="s">
        <v>234</v>
      </c>
    </row>
    <row r="136" customFormat="false" ht="15.75" hidden="false" customHeight="true" outlineLevel="0" collapsed="false">
      <c r="A136" s="70" t="s">
        <v>235</v>
      </c>
      <c r="B136" s="71" t="n">
        <f aca="false">COUNTIFS('📚 All Words (Combined)'!$B:$B,"Part 5 — Final",'📚 All Words (Combined)'!$G:$G,"Advanced Grammar")</f>
        <v>20</v>
      </c>
      <c r="C136" s="70"/>
      <c r="D136" s="52" t="s">
        <v>236</v>
      </c>
    </row>
    <row r="137" customFormat="false" ht="15.75" hidden="false" customHeight="true" outlineLevel="0" collapsed="false">
      <c r="A137" s="70" t="s">
        <v>237</v>
      </c>
      <c r="B137" s="71" t="n">
        <f aca="false">COUNTIFS('📚 All Words (Combined)'!$B:$B,"Part 5 — Final",'📚 All Words (Combined)'!$G:$G,"Essential Fill")</f>
        <v>30</v>
      </c>
      <c r="C137" s="70"/>
      <c r="D137" s="52" t="s">
        <v>238</v>
      </c>
    </row>
    <row r="138" customFormat="false" ht="15" hidden="false" customHeight="false" outlineLevel="0" collapsed="false">
      <c r="A138" s="21" t="s">
        <v>239</v>
      </c>
      <c r="B138" s="22" t="n">
        <f aca="false">COUNTIF('📚 All Words (Combined)'!$B:$B,"Part 5 — Final")</f>
        <v>156</v>
      </c>
      <c r="C138" s="23"/>
      <c r="D138" s="23"/>
    </row>
    <row r="140" customFormat="false" ht="21.75" hidden="false" customHeight="true" outlineLevel="0" collapsed="false">
      <c r="A140" s="72" t="s">
        <v>240</v>
      </c>
      <c r="B140" s="72"/>
      <c r="C140" s="72"/>
      <c r="D140" s="72"/>
    </row>
    <row r="141" customFormat="false" ht="15" hidden="false" customHeight="false" outlineLevel="0" collapsed="false">
      <c r="A141" s="73" t="s">
        <v>241</v>
      </c>
      <c r="B141" s="73"/>
      <c r="C141" s="73" t="s">
        <v>242</v>
      </c>
      <c r="D141" s="73" t="s">
        <v>243</v>
      </c>
    </row>
    <row r="142" customFormat="false" ht="27.75" hidden="false" customHeight="true" outlineLevel="0" collapsed="false">
      <c r="A142" s="74" t="s">
        <v>244</v>
      </c>
      <c r="B142" s="75"/>
      <c r="C142" s="76" t="s">
        <v>245</v>
      </c>
      <c r="D142" s="77" t="s">
        <v>246</v>
      </c>
    </row>
    <row r="143" customFormat="false" ht="27.75" hidden="false" customHeight="true" outlineLevel="0" collapsed="false">
      <c r="A143" s="74" t="s">
        <v>247</v>
      </c>
      <c r="B143" s="75"/>
      <c r="C143" s="76" t="s">
        <v>248</v>
      </c>
      <c r="D143" s="77" t="s">
        <v>249</v>
      </c>
    </row>
    <row r="144" customFormat="false" ht="27.75" hidden="false" customHeight="true" outlineLevel="0" collapsed="false">
      <c r="A144" s="74" t="s">
        <v>250</v>
      </c>
      <c r="B144" s="75"/>
      <c r="C144" s="76" t="s">
        <v>251</v>
      </c>
      <c r="D144" s="77" t="s">
        <v>252</v>
      </c>
    </row>
    <row r="145" customFormat="false" ht="27.75" hidden="false" customHeight="true" outlineLevel="0" collapsed="false">
      <c r="A145" s="74" t="s">
        <v>253</v>
      </c>
      <c r="B145" s="75"/>
      <c r="C145" s="76" t="s">
        <v>254</v>
      </c>
      <c r="D145" s="77" t="s">
        <v>255</v>
      </c>
    </row>
    <row r="146" customFormat="false" ht="27.75" hidden="false" customHeight="true" outlineLevel="0" collapsed="false">
      <c r="A146" s="74" t="s">
        <v>256</v>
      </c>
      <c r="B146" s="75"/>
      <c r="C146" s="76" t="s">
        <v>257</v>
      </c>
      <c r="D146" s="77" t="s">
        <v>258</v>
      </c>
    </row>
    <row r="147" customFormat="false" ht="27.75" hidden="false" customHeight="true" outlineLevel="0" collapsed="false">
      <c r="A147" s="74" t="s">
        <v>259</v>
      </c>
      <c r="B147" s="75"/>
      <c r="C147" s="76" t="s">
        <v>260</v>
      </c>
      <c r="D147" s="77" t="s">
        <v>261</v>
      </c>
    </row>
    <row r="148" customFormat="false" ht="27.75" hidden="false" customHeight="true" outlineLevel="0" collapsed="false">
      <c r="A148" s="74" t="s">
        <v>262</v>
      </c>
      <c r="B148" s="75"/>
      <c r="C148" s="76" t="s">
        <v>263</v>
      </c>
      <c r="D148" s="77" t="s">
        <v>264</v>
      </c>
    </row>
  </sheetData>
  <mergeCells count="15">
    <mergeCell ref="A1:D1"/>
    <mergeCell ref="A2:D2"/>
    <mergeCell ref="A4:D4"/>
    <mergeCell ref="A14:D14"/>
    <mergeCell ref="A23:D23"/>
    <mergeCell ref="A24:D24"/>
    <mergeCell ref="A56:D56"/>
    <mergeCell ref="A57:D57"/>
    <mergeCell ref="A81:D81"/>
    <mergeCell ref="A82:D82"/>
    <mergeCell ref="A105:D105"/>
    <mergeCell ref="A106:D106"/>
    <mergeCell ref="A126:D126"/>
    <mergeCell ref="A127:D127"/>
    <mergeCell ref="A140:D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34"/>
  </cols>
  <sheetData>
    <row r="1" customFormat="false" ht="30" hidden="false" customHeight="true" outlineLevel="0" collapsed="false">
      <c r="A1" s="78" t="s">
        <v>265</v>
      </c>
      <c r="B1" s="78" t="s">
        <v>2</v>
      </c>
      <c r="C1" s="78" t="s">
        <v>266</v>
      </c>
      <c r="D1" s="78" t="s">
        <v>267</v>
      </c>
      <c r="E1" s="78" t="s">
        <v>268</v>
      </c>
      <c r="F1" s="78" t="s">
        <v>269</v>
      </c>
      <c r="G1" s="78" t="s">
        <v>38</v>
      </c>
      <c r="H1" s="78" t="s">
        <v>270</v>
      </c>
    </row>
    <row r="2" customFormat="false" ht="15" hidden="false" customHeight="false" outlineLevel="0" collapsed="false">
      <c r="A2" s="79" t="n">
        <v>1</v>
      </c>
      <c r="B2" s="79" t="s">
        <v>5</v>
      </c>
      <c r="C2" s="79" t="s">
        <v>271</v>
      </c>
      <c r="D2" s="79" t="s">
        <v>272</v>
      </c>
      <c r="E2" s="80" t="s">
        <v>273</v>
      </c>
      <c r="F2" s="79" t="s">
        <v>274</v>
      </c>
      <c r="G2" s="79" t="s">
        <v>40</v>
      </c>
      <c r="H2" s="79"/>
    </row>
    <row r="3" customFormat="false" ht="15" hidden="false" customHeight="false" outlineLevel="0" collapsed="false">
      <c r="A3" s="79" t="n">
        <v>2</v>
      </c>
      <c r="B3" s="79" t="s">
        <v>5</v>
      </c>
      <c r="C3" s="79" t="s">
        <v>275</v>
      </c>
      <c r="D3" s="79" t="s">
        <v>276</v>
      </c>
      <c r="E3" s="80" t="s">
        <v>277</v>
      </c>
      <c r="F3" s="79" t="s">
        <v>278</v>
      </c>
      <c r="G3" s="79" t="s">
        <v>40</v>
      </c>
      <c r="H3" s="79"/>
    </row>
    <row r="4" customFormat="false" ht="15" hidden="false" customHeight="false" outlineLevel="0" collapsed="false">
      <c r="A4" s="79" t="n">
        <v>3</v>
      </c>
      <c r="B4" s="79" t="s">
        <v>5</v>
      </c>
      <c r="C4" s="79" t="s">
        <v>279</v>
      </c>
      <c r="D4" s="79" t="s">
        <v>280</v>
      </c>
      <c r="E4" s="80" t="s">
        <v>281</v>
      </c>
      <c r="F4" s="79" t="s">
        <v>282</v>
      </c>
      <c r="G4" s="79" t="s">
        <v>40</v>
      </c>
      <c r="H4" s="79"/>
    </row>
    <row r="5" customFormat="false" ht="15" hidden="false" customHeight="false" outlineLevel="0" collapsed="false">
      <c r="A5" s="79" t="n">
        <v>4</v>
      </c>
      <c r="B5" s="79" t="s">
        <v>5</v>
      </c>
      <c r="C5" s="79" t="s">
        <v>283</v>
      </c>
      <c r="D5" s="79" t="s">
        <v>284</v>
      </c>
      <c r="E5" s="80" t="s">
        <v>285</v>
      </c>
      <c r="F5" s="79" t="s">
        <v>286</v>
      </c>
      <c r="G5" s="79" t="s">
        <v>40</v>
      </c>
      <c r="H5" s="79"/>
    </row>
    <row r="6" customFormat="false" ht="15" hidden="false" customHeight="false" outlineLevel="0" collapsed="false">
      <c r="A6" s="79" t="n">
        <v>5</v>
      </c>
      <c r="B6" s="79" t="s">
        <v>5</v>
      </c>
      <c r="C6" s="79" t="s">
        <v>287</v>
      </c>
      <c r="D6" s="79" t="s">
        <v>288</v>
      </c>
      <c r="E6" s="80" t="s">
        <v>289</v>
      </c>
      <c r="F6" s="79" t="s">
        <v>290</v>
      </c>
      <c r="G6" s="79" t="s">
        <v>40</v>
      </c>
      <c r="H6" s="79"/>
    </row>
    <row r="7" customFormat="false" ht="15" hidden="false" customHeight="false" outlineLevel="0" collapsed="false">
      <c r="A7" s="79" t="n">
        <v>6</v>
      </c>
      <c r="B7" s="79" t="s">
        <v>5</v>
      </c>
      <c r="C7" s="79" t="s">
        <v>291</v>
      </c>
      <c r="D7" s="79" t="s">
        <v>292</v>
      </c>
      <c r="E7" s="80" t="s">
        <v>293</v>
      </c>
      <c r="F7" s="79" t="s">
        <v>294</v>
      </c>
      <c r="G7" s="79" t="s">
        <v>40</v>
      </c>
      <c r="H7" s="79"/>
    </row>
    <row r="8" customFormat="false" ht="15" hidden="false" customHeight="false" outlineLevel="0" collapsed="false">
      <c r="A8" s="79" t="n">
        <v>7</v>
      </c>
      <c r="B8" s="79" t="s">
        <v>5</v>
      </c>
      <c r="C8" s="79" t="s">
        <v>295</v>
      </c>
      <c r="D8" s="79" t="s">
        <v>296</v>
      </c>
      <c r="E8" s="80" t="s">
        <v>297</v>
      </c>
      <c r="F8" s="79" t="s">
        <v>298</v>
      </c>
      <c r="G8" s="79" t="s">
        <v>40</v>
      </c>
      <c r="H8" s="79"/>
    </row>
    <row r="9" customFormat="false" ht="15" hidden="false" customHeight="false" outlineLevel="0" collapsed="false">
      <c r="A9" s="79" t="n">
        <v>8</v>
      </c>
      <c r="B9" s="79" t="s">
        <v>5</v>
      </c>
      <c r="C9" s="79" t="s">
        <v>299</v>
      </c>
      <c r="D9" s="79" t="s">
        <v>300</v>
      </c>
      <c r="E9" s="80" t="s">
        <v>301</v>
      </c>
      <c r="F9" s="79" t="s">
        <v>302</v>
      </c>
      <c r="G9" s="79" t="s">
        <v>40</v>
      </c>
      <c r="H9" s="79"/>
    </row>
    <row r="10" customFormat="false" ht="15" hidden="false" customHeight="false" outlineLevel="0" collapsed="false">
      <c r="A10" s="79" t="n">
        <v>9</v>
      </c>
      <c r="B10" s="79" t="s">
        <v>5</v>
      </c>
      <c r="C10" s="79" t="s">
        <v>303</v>
      </c>
      <c r="D10" s="79" t="s">
        <v>304</v>
      </c>
      <c r="E10" s="80" t="s">
        <v>305</v>
      </c>
      <c r="F10" s="79" t="s">
        <v>306</v>
      </c>
      <c r="G10" s="79" t="s">
        <v>40</v>
      </c>
      <c r="H10" s="79"/>
    </row>
    <row r="11" customFormat="false" ht="15" hidden="false" customHeight="false" outlineLevel="0" collapsed="false">
      <c r="A11" s="79" t="n">
        <v>10</v>
      </c>
      <c r="B11" s="79" t="s">
        <v>5</v>
      </c>
      <c r="C11" s="79" t="s">
        <v>307</v>
      </c>
      <c r="D11" s="79" t="s">
        <v>308</v>
      </c>
      <c r="E11" s="80" t="s">
        <v>309</v>
      </c>
      <c r="F11" s="79" t="s">
        <v>310</v>
      </c>
      <c r="G11" s="79" t="s">
        <v>40</v>
      </c>
      <c r="H11" s="79"/>
    </row>
    <row r="12" customFormat="false" ht="15" hidden="false" customHeight="false" outlineLevel="0" collapsed="false">
      <c r="A12" s="79" t="n">
        <v>11</v>
      </c>
      <c r="B12" s="79" t="s">
        <v>5</v>
      </c>
      <c r="C12" s="79" t="s">
        <v>311</v>
      </c>
      <c r="D12" s="79" t="s">
        <v>312</v>
      </c>
      <c r="E12" s="80" t="s">
        <v>313</v>
      </c>
      <c r="F12" s="79" t="s">
        <v>314</v>
      </c>
      <c r="G12" s="79" t="s">
        <v>40</v>
      </c>
      <c r="H12" s="79"/>
    </row>
    <row r="13" customFormat="false" ht="15" hidden="false" customHeight="false" outlineLevel="0" collapsed="false">
      <c r="A13" s="79" t="n">
        <v>12</v>
      </c>
      <c r="B13" s="79" t="s">
        <v>5</v>
      </c>
      <c r="C13" s="79" t="s">
        <v>315</v>
      </c>
      <c r="D13" s="79" t="s">
        <v>316</v>
      </c>
      <c r="E13" s="80" t="s">
        <v>317</v>
      </c>
      <c r="F13" s="79" t="s">
        <v>318</v>
      </c>
      <c r="G13" s="79" t="s">
        <v>40</v>
      </c>
      <c r="H13" s="79"/>
    </row>
    <row r="14" customFormat="false" ht="15" hidden="false" customHeight="false" outlineLevel="0" collapsed="false">
      <c r="A14" s="79" t="n">
        <v>13</v>
      </c>
      <c r="B14" s="79" t="s">
        <v>5</v>
      </c>
      <c r="C14" s="79" t="s">
        <v>319</v>
      </c>
      <c r="D14" s="79" t="s">
        <v>320</v>
      </c>
      <c r="E14" s="80" t="s">
        <v>321</v>
      </c>
      <c r="F14" s="79" t="s">
        <v>322</v>
      </c>
      <c r="G14" s="79" t="s">
        <v>40</v>
      </c>
      <c r="H14" s="79" t="s">
        <v>323</v>
      </c>
    </row>
    <row r="15" customFormat="false" ht="15" hidden="false" customHeight="false" outlineLevel="0" collapsed="false">
      <c r="A15" s="79" t="n">
        <v>14</v>
      </c>
      <c r="B15" s="79" t="s">
        <v>5</v>
      </c>
      <c r="C15" s="79" t="s">
        <v>324</v>
      </c>
      <c r="D15" s="79" t="s">
        <v>325</v>
      </c>
      <c r="E15" s="80" t="s">
        <v>326</v>
      </c>
      <c r="F15" s="79" t="s">
        <v>327</v>
      </c>
      <c r="G15" s="79" t="s">
        <v>40</v>
      </c>
      <c r="H15" s="79"/>
    </row>
    <row r="16" customFormat="false" ht="15" hidden="false" customHeight="false" outlineLevel="0" collapsed="false">
      <c r="A16" s="79" t="n">
        <v>15</v>
      </c>
      <c r="B16" s="79" t="s">
        <v>5</v>
      </c>
      <c r="C16" s="79" t="s">
        <v>328</v>
      </c>
      <c r="D16" s="79" t="s">
        <v>329</v>
      </c>
      <c r="E16" s="80" t="s">
        <v>330</v>
      </c>
      <c r="F16" s="79" t="s">
        <v>331</v>
      </c>
      <c r="G16" s="79" t="s">
        <v>40</v>
      </c>
      <c r="H16" s="79"/>
    </row>
    <row r="17" customFormat="false" ht="15" hidden="false" customHeight="false" outlineLevel="0" collapsed="false">
      <c r="A17" s="79" t="n">
        <v>16</v>
      </c>
      <c r="B17" s="79" t="s">
        <v>5</v>
      </c>
      <c r="C17" s="79" t="s">
        <v>332</v>
      </c>
      <c r="D17" s="79" t="s">
        <v>333</v>
      </c>
      <c r="E17" s="80" t="s">
        <v>334</v>
      </c>
      <c r="F17" s="79" t="s">
        <v>335</v>
      </c>
      <c r="G17" s="79" t="s">
        <v>40</v>
      </c>
      <c r="H17" s="79" t="s">
        <v>336</v>
      </c>
    </row>
    <row r="18" customFormat="false" ht="15" hidden="false" customHeight="false" outlineLevel="0" collapsed="false">
      <c r="A18" s="79" t="n">
        <v>17</v>
      </c>
      <c r="B18" s="79" t="s">
        <v>5</v>
      </c>
      <c r="C18" s="79" t="s">
        <v>337</v>
      </c>
      <c r="D18" s="79" t="s">
        <v>338</v>
      </c>
      <c r="E18" s="80" t="s">
        <v>339</v>
      </c>
      <c r="F18" s="79" t="s">
        <v>340</v>
      </c>
      <c r="G18" s="79" t="s">
        <v>40</v>
      </c>
      <c r="H18" s="79"/>
    </row>
    <row r="19" customFormat="false" ht="15" hidden="false" customHeight="false" outlineLevel="0" collapsed="false">
      <c r="A19" s="79" t="n">
        <v>18</v>
      </c>
      <c r="B19" s="79" t="s">
        <v>5</v>
      </c>
      <c r="C19" s="79" t="s">
        <v>341</v>
      </c>
      <c r="D19" s="79" t="s">
        <v>342</v>
      </c>
      <c r="E19" s="80" t="s">
        <v>343</v>
      </c>
      <c r="F19" s="79" t="s">
        <v>344</v>
      </c>
      <c r="G19" s="79" t="s">
        <v>40</v>
      </c>
      <c r="H19" s="79"/>
    </row>
    <row r="20" customFormat="false" ht="15" hidden="false" customHeight="false" outlineLevel="0" collapsed="false">
      <c r="A20" s="79" t="n">
        <v>19</v>
      </c>
      <c r="B20" s="79" t="s">
        <v>5</v>
      </c>
      <c r="C20" s="79" t="s">
        <v>345</v>
      </c>
      <c r="D20" s="79" t="s">
        <v>346</v>
      </c>
      <c r="E20" s="80" t="s">
        <v>281</v>
      </c>
      <c r="F20" s="79" t="s">
        <v>282</v>
      </c>
      <c r="G20" s="79" t="s">
        <v>40</v>
      </c>
      <c r="H20" s="79"/>
    </row>
    <row r="21" customFormat="false" ht="15" hidden="false" customHeight="false" outlineLevel="0" collapsed="false">
      <c r="A21" s="79" t="n">
        <v>20</v>
      </c>
      <c r="B21" s="79" t="s">
        <v>5</v>
      </c>
      <c r="C21" s="79" t="s">
        <v>347</v>
      </c>
      <c r="D21" s="79" t="s">
        <v>348</v>
      </c>
      <c r="E21" s="80" t="s">
        <v>349</v>
      </c>
      <c r="F21" s="79" t="s">
        <v>350</v>
      </c>
      <c r="G21" s="79" t="s">
        <v>40</v>
      </c>
      <c r="H21" s="79"/>
    </row>
    <row r="22" customFormat="false" ht="15" hidden="false" customHeight="false" outlineLevel="0" collapsed="false">
      <c r="A22" s="79" t="n">
        <v>21</v>
      </c>
      <c r="B22" s="79" t="s">
        <v>5</v>
      </c>
      <c r="C22" s="79" t="s">
        <v>351</v>
      </c>
      <c r="D22" s="79" t="s">
        <v>352</v>
      </c>
      <c r="E22" s="80" t="s">
        <v>353</v>
      </c>
      <c r="F22" s="79" t="s">
        <v>354</v>
      </c>
      <c r="G22" s="79" t="s">
        <v>40</v>
      </c>
      <c r="H22" s="79"/>
    </row>
    <row r="23" customFormat="false" ht="15" hidden="false" customHeight="false" outlineLevel="0" collapsed="false">
      <c r="A23" s="79" t="n">
        <v>22</v>
      </c>
      <c r="B23" s="79" t="s">
        <v>5</v>
      </c>
      <c r="C23" s="79" t="s">
        <v>355</v>
      </c>
      <c r="D23" s="79" t="s">
        <v>356</v>
      </c>
      <c r="E23" s="80" t="s">
        <v>357</v>
      </c>
      <c r="F23" s="79" t="s">
        <v>358</v>
      </c>
      <c r="G23" s="79" t="s">
        <v>40</v>
      </c>
      <c r="H23" s="79"/>
    </row>
    <row r="24" customFormat="false" ht="15" hidden="false" customHeight="false" outlineLevel="0" collapsed="false">
      <c r="A24" s="79" t="n">
        <v>23</v>
      </c>
      <c r="B24" s="79" t="s">
        <v>5</v>
      </c>
      <c r="C24" s="79" t="s">
        <v>359</v>
      </c>
      <c r="D24" s="79" t="s">
        <v>360</v>
      </c>
      <c r="E24" s="80" t="s">
        <v>361</v>
      </c>
      <c r="F24" s="79" t="s">
        <v>362</v>
      </c>
      <c r="G24" s="79" t="s">
        <v>40</v>
      </c>
      <c r="H24" s="79"/>
    </row>
    <row r="25" customFormat="false" ht="15" hidden="false" customHeight="false" outlineLevel="0" collapsed="false">
      <c r="A25" s="79" t="n">
        <v>24</v>
      </c>
      <c r="B25" s="79" t="s">
        <v>5</v>
      </c>
      <c r="C25" s="79" t="s">
        <v>363</v>
      </c>
      <c r="D25" s="79" t="s">
        <v>364</v>
      </c>
      <c r="E25" s="80" t="s">
        <v>365</v>
      </c>
      <c r="F25" s="79" t="s">
        <v>366</v>
      </c>
      <c r="G25" s="79" t="s">
        <v>40</v>
      </c>
      <c r="H25" s="79" t="s">
        <v>367</v>
      </c>
    </row>
    <row r="26" customFormat="false" ht="15" hidden="false" customHeight="false" outlineLevel="0" collapsed="false">
      <c r="A26" s="79" t="n">
        <v>25</v>
      </c>
      <c r="B26" s="79" t="s">
        <v>5</v>
      </c>
      <c r="C26" s="79" t="s">
        <v>368</v>
      </c>
      <c r="D26" s="79" t="s">
        <v>369</v>
      </c>
      <c r="E26" s="80" t="s">
        <v>370</v>
      </c>
      <c r="F26" s="79" t="s">
        <v>371</v>
      </c>
      <c r="G26" s="79" t="s">
        <v>40</v>
      </c>
      <c r="H26" s="79"/>
    </row>
    <row r="27" customFormat="false" ht="15" hidden="false" customHeight="false" outlineLevel="0" collapsed="false">
      <c r="A27" s="79" t="n">
        <v>26</v>
      </c>
      <c r="B27" s="79" t="s">
        <v>5</v>
      </c>
      <c r="C27" s="79" t="s">
        <v>372</v>
      </c>
      <c r="D27" s="79" t="s">
        <v>373</v>
      </c>
      <c r="E27" s="80" t="s">
        <v>374</v>
      </c>
      <c r="F27" s="79" t="s">
        <v>331</v>
      </c>
      <c r="G27" s="79" t="s">
        <v>40</v>
      </c>
      <c r="H27" s="79"/>
    </row>
    <row r="28" customFormat="false" ht="15" hidden="false" customHeight="false" outlineLevel="0" collapsed="false">
      <c r="A28" s="79" t="n">
        <v>27</v>
      </c>
      <c r="B28" s="79" t="s">
        <v>5</v>
      </c>
      <c r="C28" s="79" t="s">
        <v>375</v>
      </c>
      <c r="D28" s="79" t="s">
        <v>376</v>
      </c>
      <c r="E28" s="80" t="s">
        <v>377</v>
      </c>
      <c r="F28" s="79" t="s">
        <v>378</v>
      </c>
      <c r="G28" s="79" t="s">
        <v>40</v>
      </c>
      <c r="H28" s="79"/>
    </row>
    <row r="29" customFormat="false" ht="15" hidden="false" customHeight="false" outlineLevel="0" collapsed="false">
      <c r="A29" s="79" t="n">
        <v>28</v>
      </c>
      <c r="B29" s="79" t="s">
        <v>5</v>
      </c>
      <c r="C29" s="79" t="s">
        <v>379</v>
      </c>
      <c r="D29" s="79" t="s">
        <v>380</v>
      </c>
      <c r="E29" s="80" t="s">
        <v>381</v>
      </c>
      <c r="F29" s="79" t="s">
        <v>382</v>
      </c>
      <c r="G29" s="79" t="s">
        <v>42</v>
      </c>
      <c r="H29" s="79"/>
    </row>
    <row r="30" customFormat="false" ht="15" hidden="false" customHeight="false" outlineLevel="0" collapsed="false">
      <c r="A30" s="79" t="n">
        <v>29</v>
      </c>
      <c r="B30" s="79" t="s">
        <v>5</v>
      </c>
      <c r="C30" s="79" t="s">
        <v>383</v>
      </c>
      <c r="D30" s="79" t="s">
        <v>384</v>
      </c>
      <c r="E30" s="80" t="s">
        <v>385</v>
      </c>
      <c r="F30" s="79" t="s">
        <v>386</v>
      </c>
      <c r="G30" s="79" t="s">
        <v>42</v>
      </c>
      <c r="H30" s="79"/>
    </row>
    <row r="31" customFormat="false" ht="15" hidden="false" customHeight="false" outlineLevel="0" collapsed="false">
      <c r="A31" s="79" t="n">
        <v>30</v>
      </c>
      <c r="B31" s="79" t="s">
        <v>5</v>
      </c>
      <c r="C31" s="79" t="s">
        <v>387</v>
      </c>
      <c r="D31" s="79" t="s">
        <v>388</v>
      </c>
      <c r="E31" s="80" t="s">
        <v>389</v>
      </c>
      <c r="F31" s="79" t="s">
        <v>390</v>
      </c>
      <c r="G31" s="79" t="s">
        <v>42</v>
      </c>
      <c r="H31" s="79"/>
    </row>
    <row r="32" customFormat="false" ht="15" hidden="false" customHeight="false" outlineLevel="0" collapsed="false">
      <c r="A32" s="79" t="n">
        <v>31</v>
      </c>
      <c r="B32" s="79" t="s">
        <v>5</v>
      </c>
      <c r="C32" s="79" t="s">
        <v>391</v>
      </c>
      <c r="D32" s="79" t="s">
        <v>392</v>
      </c>
      <c r="E32" s="80" t="s">
        <v>393</v>
      </c>
      <c r="F32" s="79" t="s">
        <v>394</v>
      </c>
      <c r="G32" s="79" t="s">
        <v>42</v>
      </c>
      <c r="H32" s="79"/>
    </row>
    <row r="33" customFormat="false" ht="15" hidden="false" customHeight="false" outlineLevel="0" collapsed="false">
      <c r="A33" s="79" t="n">
        <v>32</v>
      </c>
      <c r="B33" s="79" t="s">
        <v>5</v>
      </c>
      <c r="C33" s="79" t="s">
        <v>395</v>
      </c>
      <c r="D33" s="79" t="s">
        <v>396</v>
      </c>
      <c r="E33" s="80" t="s">
        <v>397</v>
      </c>
      <c r="F33" s="79" t="s">
        <v>398</v>
      </c>
      <c r="G33" s="79" t="s">
        <v>42</v>
      </c>
      <c r="H33" s="79"/>
    </row>
    <row r="34" customFormat="false" ht="15" hidden="false" customHeight="false" outlineLevel="0" collapsed="false">
      <c r="A34" s="79" t="n">
        <v>33</v>
      </c>
      <c r="B34" s="79" t="s">
        <v>5</v>
      </c>
      <c r="C34" s="79" t="s">
        <v>399</v>
      </c>
      <c r="D34" s="79" t="s">
        <v>400</v>
      </c>
      <c r="E34" s="80" t="s">
        <v>401</v>
      </c>
      <c r="F34" s="79" t="s">
        <v>402</v>
      </c>
      <c r="G34" s="79" t="s">
        <v>42</v>
      </c>
      <c r="H34" s="79" t="s">
        <v>403</v>
      </c>
    </row>
    <row r="35" customFormat="false" ht="15" hidden="false" customHeight="false" outlineLevel="0" collapsed="false">
      <c r="A35" s="79" t="n">
        <v>34</v>
      </c>
      <c r="B35" s="79" t="s">
        <v>5</v>
      </c>
      <c r="C35" s="79" t="s">
        <v>404</v>
      </c>
      <c r="D35" s="79" t="s">
        <v>405</v>
      </c>
      <c r="E35" s="80" t="s">
        <v>406</v>
      </c>
      <c r="F35" s="79" t="s">
        <v>407</v>
      </c>
      <c r="G35" s="79" t="s">
        <v>42</v>
      </c>
      <c r="H35" s="79"/>
    </row>
    <row r="36" customFormat="false" ht="15" hidden="false" customHeight="false" outlineLevel="0" collapsed="false">
      <c r="A36" s="79" t="n">
        <v>35</v>
      </c>
      <c r="B36" s="79" t="s">
        <v>5</v>
      </c>
      <c r="C36" s="79" t="s">
        <v>408</v>
      </c>
      <c r="D36" s="79" t="s">
        <v>409</v>
      </c>
      <c r="E36" s="80" t="s">
        <v>410</v>
      </c>
      <c r="F36" s="79" t="s">
        <v>411</v>
      </c>
      <c r="G36" s="79" t="s">
        <v>42</v>
      </c>
      <c r="H36" s="79"/>
    </row>
    <row r="37" customFormat="false" ht="15" hidden="false" customHeight="false" outlineLevel="0" collapsed="false">
      <c r="A37" s="79" t="n">
        <v>36</v>
      </c>
      <c r="B37" s="79" t="s">
        <v>5</v>
      </c>
      <c r="C37" s="79" t="s">
        <v>412</v>
      </c>
      <c r="D37" s="79" t="s">
        <v>413</v>
      </c>
      <c r="E37" s="80" t="s">
        <v>414</v>
      </c>
      <c r="F37" s="79" t="s">
        <v>415</v>
      </c>
      <c r="G37" s="79" t="s">
        <v>42</v>
      </c>
      <c r="H37" s="79"/>
    </row>
    <row r="38" customFormat="false" ht="15" hidden="false" customHeight="false" outlineLevel="0" collapsed="false">
      <c r="A38" s="79" t="n">
        <v>37</v>
      </c>
      <c r="B38" s="79" t="s">
        <v>5</v>
      </c>
      <c r="C38" s="79" t="s">
        <v>416</v>
      </c>
      <c r="D38" s="79" t="s">
        <v>417</v>
      </c>
      <c r="E38" s="80" t="s">
        <v>418</v>
      </c>
      <c r="F38" s="79" t="s">
        <v>419</v>
      </c>
      <c r="G38" s="79" t="s">
        <v>42</v>
      </c>
      <c r="H38" s="79"/>
    </row>
    <row r="39" customFormat="false" ht="15" hidden="false" customHeight="false" outlineLevel="0" collapsed="false">
      <c r="A39" s="79" t="n">
        <v>38</v>
      </c>
      <c r="B39" s="79" t="s">
        <v>5</v>
      </c>
      <c r="C39" s="79" t="s">
        <v>420</v>
      </c>
      <c r="D39" s="79" t="s">
        <v>421</v>
      </c>
      <c r="E39" s="80" t="s">
        <v>422</v>
      </c>
      <c r="F39" s="79" t="s">
        <v>423</v>
      </c>
      <c r="G39" s="79" t="s">
        <v>42</v>
      </c>
      <c r="H39" s="79"/>
    </row>
    <row r="40" customFormat="false" ht="15" hidden="false" customHeight="false" outlineLevel="0" collapsed="false">
      <c r="A40" s="79" t="n">
        <v>39</v>
      </c>
      <c r="B40" s="79" t="s">
        <v>5</v>
      </c>
      <c r="C40" s="79" t="s">
        <v>424</v>
      </c>
      <c r="D40" s="79" t="s">
        <v>425</v>
      </c>
      <c r="E40" s="80" t="s">
        <v>426</v>
      </c>
      <c r="F40" s="79" t="s">
        <v>427</v>
      </c>
      <c r="G40" s="79" t="s">
        <v>42</v>
      </c>
      <c r="H40" s="79"/>
    </row>
    <row r="41" customFormat="false" ht="15" hidden="false" customHeight="false" outlineLevel="0" collapsed="false">
      <c r="A41" s="79" t="n">
        <v>40</v>
      </c>
      <c r="B41" s="79" t="s">
        <v>5</v>
      </c>
      <c r="C41" s="79" t="s">
        <v>428</v>
      </c>
      <c r="D41" s="79" t="s">
        <v>429</v>
      </c>
      <c r="E41" s="80" t="s">
        <v>430</v>
      </c>
      <c r="F41" s="79" t="s">
        <v>431</v>
      </c>
      <c r="G41" s="79" t="s">
        <v>42</v>
      </c>
      <c r="H41" s="79"/>
    </row>
    <row r="42" customFormat="false" ht="15" hidden="false" customHeight="false" outlineLevel="0" collapsed="false">
      <c r="A42" s="79" t="n">
        <v>41</v>
      </c>
      <c r="B42" s="79" t="s">
        <v>5</v>
      </c>
      <c r="C42" s="79" t="s">
        <v>432</v>
      </c>
      <c r="D42" s="79" t="s">
        <v>433</v>
      </c>
      <c r="E42" s="80" t="s">
        <v>434</v>
      </c>
      <c r="F42" s="79" t="s">
        <v>435</v>
      </c>
      <c r="G42" s="79" t="s">
        <v>42</v>
      </c>
      <c r="H42" s="79" t="s">
        <v>436</v>
      </c>
    </row>
    <row r="43" customFormat="false" ht="15" hidden="false" customHeight="false" outlineLevel="0" collapsed="false">
      <c r="A43" s="79" t="n">
        <v>42</v>
      </c>
      <c r="B43" s="79" t="s">
        <v>5</v>
      </c>
      <c r="C43" s="79" t="s">
        <v>437</v>
      </c>
      <c r="D43" s="79" t="s">
        <v>438</v>
      </c>
      <c r="E43" s="80" t="s">
        <v>439</v>
      </c>
      <c r="F43" s="79" t="s">
        <v>440</v>
      </c>
      <c r="G43" s="79" t="s">
        <v>42</v>
      </c>
      <c r="H43" s="79" t="s">
        <v>441</v>
      </c>
    </row>
    <row r="44" customFormat="false" ht="15" hidden="false" customHeight="false" outlineLevel="0" collapsed="false">
      <c r="A44" s="79" t="n">
        <v>43</v>
      </c>
      <c r="B44" s="79" t="s">
        <v>5</v>
      </c>
      <c r="C44" s="79" t="s">
        <v>442</v>
      </c>
      <c r="D44" s="79" t="s">
        <v>443</v>
      </c>
      <c r="E44" s="80" t="s">
        <v>444</v>
      </c>
      <c r="F44" s="79" t="s">
        <v>445</v>
      </c>
      <c r="G44" s="79" t="s">
        <v>42</v>
      </c>
      <c r="H44" s="79" t="s">
        <v>446</v>
      </c>
    </row>
    <row r="45" customFormat="false" ht="15" hidden="false" customHeight="false" outlineLevel="0" collapsed="false">
      <c r="A45" s="79" t="n">
        <v>44</v>
      </c>
      <c r="B45" s="79" t="s">
        <v>5</v>
      </c>
      <c r="C45" s="79" t="s">
        <v>447</v>
      </c>
      <c r="D45" s="79" t="s">
        <v>448</v>
      </c>
      <c r="E45" s="80" t="s">
        <v>449</v>
      </c>
      <c r="F45" s="79" t="s">
        <v>450</v>
      </c>
      <c r="G45" s="79" t="s">
        <v>42</v>
      </c>
      <c r="H45" s="79"/>
    </row>
    <row r="46" customFormat="false" ht="15" hidden="false" customHeight="false" outlineLevel="0" collapsed="false">
      <c r="A46" s="79" t="n">
        <v>45</v>
      </c>
      <c r="B46" s="79" t="s">
        <v>5</v>
      </c>
      <c r="C46" s="79" t="s">
        <v>451</v>
      </c>
      <c r="D46" s="79" t="s">
        <v>452</v>
      </c>
      <c r="E46" s="80" t="s">
        <v>453</v>
      </c>
      <c r="F46" s="79" t="s">
        <v>454</v>
      </c>
      <c r="G46" s="79" t="s">
        <v>42</v>
      </c>
      <c r="H46" s="79"/>
    </row>
    <row r="47" customFormat="false" ht="15" hidden="false" customHeight="false" outlineLevel="0" collapsed="false">
      <c r="A47" s="79" t="n">
        <v>46</v>
      </c>
      <c r="B47" s="79" t="s">
        <v>5</v>
      </c>
      <c r="C47" s="79" t="s">
        <v>455</v>
      </c>
      <c r="D47" s="79" t="s">
        <v>456</v>
      </c>
      <c r="E47" s="80" t="s">
        <v>457</v>
      </c>
      <c r="F47" s="79" t="s">
        <v>458</v>
      </c>
      <c r="G47" s="79" t="s">
        <v>42</v>
      </c>
      <c r="H47" s="79"/>
    </row>
    <row r="48" customFormat="false" ht="15" hidden="false" customHeight="false" outlineLevel="0" collapsed="false">
      <c r="A48" s="79" t="n">
        <v>47</v>
      </c>
      <c r="B48" s="79" t="s">
        <v>5</v>
      </c>
      <c r="C48" s="79" t="s">
        <v>459</v>
      </c>
      <c r="D48" s="79" t="s">
        <v>460</v>
      </c>
      <c r="E48" s="80" t="s">
        <v>461</v>
      </c>
      <c r="F48" s="79" t="s">
        <v>462</v>
      </c>
      <c r="G48" s="79" t="s">
        <v>42</v>
      </c>
      <c r="H48" s="79"/>
    </row>
    <row r="49" customFormat="false" ht="15" hidden="false" customHeight="false" outlineLevel="0" collapsed="false">
      <c r="A49" s="79" t="n">
        <v>48</v>
      </c>
      <c r="B49" s="79" t="s">
        <v>5</v>
      </c>
      <c r="C49" s="79" t="s">
        <v>463</v>
      </c>
      <c r="D49" s="79" t="s">
        <v>464</v>
      </c>
      <c r="E49" s="80" t="s">
        <v>465</v>
      </c>
      <c r="F49" s="79" t="s">
        <v>466</v>
      </c>
      <c r="G49" s="79" t="s">
        <v>44</v>
      </c>
      <c r="H49" s="79"/>
    </row>
    <row r="50" customFormat="false" ht="15" hidden="false" customHeight="false" outlineLevel="0" collapsed="false">
      <c r="A50" s="79" t="n">
        <v>49</v>
      </c>
      <c r="B50" s="79" t="s">
        <v>5</v>
      </c>
      <c r="C50" s="79" t="s">
        <v>467</v>
      </c>
      <c r="D50" s="79" t="s">
        <v>468</v>
      </c>
      <c r="E50" s="80" t="s">
        <v>469</v>
      </c>
      <c r="F50" s="79" t="s">
        <v>470</v>
      </c>
      <c r="G50" s="79" t="s">
        <v>44</v>
      </c>
      <c r="H50" s="79"/>
    </row>
    <row r="51" customFormat="false" ht="15" hidden="false" customHeight="false" outlineLevel="0" collapsed="false">
      <c r="A51" s="79" t="n">
        <v>50</v>
      </c>
      <c r="B51" s="79" t="s">
        <v>5</v>
      </c>
      <c r="C51" s="79" t="s">
        <v>471</v>
      </c>
      <c r="D51" s="79" t="s">
        <v>472</v>
      </c>
      <c r="E51" s="80" t="s">
        <v>473</v>
      </c>
      <c r="F51" s="79" t="s">
        <v>474</v>
      </c>
      <c r="G51" s="79" t="s">
        <v>44</v>
      </c>
      <c r="H51" s="79"/>
    </row>
    <row r="52" customFormat="false" ht="15" hidden="false" customHeight="false" outlineLevel="0" collapsed="false">
      <c r="A52" s="79" t="n">
        <v>51</v>
      </c>
      <c r="B52" s="79" t="s">
        <v>5</v>
      </c>
      <c r="C52" s="79" t="s">
        <v>475</v>
      </c>
      <c r="D52" s="79" t="s">
        <v>476</v>
      </c>
      <c r="E52" s="80" t="s">
        <v>477</v>
      </c>
      <c r="F52" s="79" t="s">
        <v>386</v>
      </c>
      <c r="G52" s="79" t="s">
        <v>44</v>
      </c>
      <c r="H52" s="79"/>
    </row>
    <row r="53" customFormat="false" ht="15" hidden="false" customHeight="false" outlineLevel="0" collapsed="false">
      <c r="A53" s="79" t="n">
        <v>52</v>
      </c>
      <c r="B53" s="79" t="s">
        <v>5</v>
      </c>
      <c r="C53" s="79" t="s">
        <v>478</v>
      </c>
      <c r="D53" s="79" t="s">
        <v>479</v>
      </c>
      <c r="E53" s="80" t="s">
        <v>480</v>
      </c>
      <c r="F53" s="79" t="s">
        <v>481</v>
      </c>
      <c r="G53" s="79" t="s">
        <v>44</v>
      </c>
      <c r="H53" s="79"/>
    </row>
    <row r="54" customFormat="false" ht="15" hidden="false" customHeight="false" outlineLevel="0" collapsed="false">
      <c r="A54" s="79" t="n">
        <v>53</v>
      </c>
      <c r="B54" s="79" t="s">
        <v>5</v>
      </c>
      <c r="C54" s="79" t="s">
        <v>482</v>
      </c>
      <c r="D54" s="79" t="s">
        <v>483</v>
      </c>
      <c r="E54" s="80" t="s">
        <v>484</v>
      </c>
      <c r="F54" s="79" t="s">
        <v>485</v>
      </c>
      <c r="G54" s="79" t="s">
        <v>44</v>
      </c>
      <c r="H54" s="79"/>
    </row>
    <row r="55" customFormat="false" ht="15" hidden="false" customHeight="false" outlineLevel="0" collapsed="false">
      <c r="A55" s="79" t="n">
        <v>54</v>
      </c>
      <c r="B55" s="79" t="s">
        <v>5</v>
      </c>
      <c r="C55" s="79" t="s">
        <v>399</v>
      </c>
      <c r="D55" s="79" t="s">
        <v>486</v>
      </c>
      <c r="E55" s="80" t="s">
        <v>487</v>
      </c>
      <c r="F55" s="79" t="s">
        <v>488</v>
      </c>
      <c r="G55" s="79" t="s">
        <v>44</v>
      </c>
      <c r="H55" s="79" t="s">
        <v>489</v>
      </c>
    </row>
    <row r="56" customFormat="false" ht="15" hidden="false" customHeight="false" outlineLevel="0" collapsed="false">
      <c r="A56" s="79" t="n">
        <v>55</v>
      </c>
      <c r="B56" s="79" t="s">
        <v>5</v>
      </c>
      <c r="C56" s="79" t="s">
        <v>490</v>
      </c>
      <c r="D56" s="79" t="s">
        <v>491</v>
      </c>
      <c r="E56" s="80" t="s">
        <v>492</v>
      </c>
      <c r="F56" s="79" t="s">
        <v>493</v>
      </c>
      <c r="G56" s="79" t="s">
        <v>44</v>
      </c>
      <c r="H56" s="79"/>
    </row>
    <row r="57" customFormat="false" ht="15" hidden="false" customHeight="false" outlineLevel="0" collapsed="false">
      <c r="A57" s="79" t="n">
        <v>56</v>
      </c>
      <c r="B57" s="79" t="s">
        <v>5</v>
      </c>
      <c r="C57" s="79" t="s">
        <v>494</v>
      </c>
      <c r="D57" s="79" t="s">
        <v>495</v>
      </c>
      <c r="E57" s="80" t="s">
        <v>496</v>
      </c>
      <c r="F57" s="79" t="s">
        <v>497</v>
      </c>
      <c r="G57" s="79" t="s">
        <v>44</v>
      </c>
      <c r="H57" s="79"/>
    </row>
    <row r="58" customFormat="false" ht="15" hidden="false" customHeight="false" outlineLevel="0" collapsed="false">
      <c r="A58" s="79" t="n">
        <v>57</v>
      </c>
      <c r="B58" s="79" t="s">
        <v>5</v>
      </c>
      <c r="C58" s="79" t="s">
        <v>498</v>
      </c>
      <c r="D58" s="79" t="s">
        <v>499</v>
      </c>
      <c r="E58" s="80" t="s">
        <v>500</v>
      </c>
      <c r="F58" s="79" t="s">
        <v>501</v>
      </c>
      <c r="G58" s="79" t="s">
        <v>44</v>
      </c>
      <c r="H58" s="79"/>
    </row>
    <row r="59" customFormat="false" ht="15" hidden="false" customHeight="false" outlineLevel="0" collapsed="false">
      <c r="A59" s="79" t="n">
        <v>58</v>
      </c>
      <c r="B59" s="79" t="s">
        <v>5</v>
      </c>
      <c r="C59" s="79" t="s">
        <v>502</v>
      </c>
      <c r="D59" s="79" t="s">
        <v>503</v>
      </c>
      <c r="E59" s="80" t="s">
        <v>504</v>
      </c>
      <c r="F59" s="79" t="s">
        <v>505</v>
      </c>
      <c r="G59" s="79" t="s">
        <v>44</v>
      </c>
      <c r="H59" s="79"/>
    </row>
    <row r="60" customFormat="false" ht="15" hidden="false" customHeight="false" outlineLevel="0" collapsed="false">
      <c r="A60" s="79" t="n">
        <v>59</v>
      </c>
      <c r="B60" s="79" t="s">
        <v>5</v>
      </c>
      <c r="C60" s="79" t="s">
        <v>506</v>
      </c>
      <c r="D60" s="79" t="s">
        <v>507</v>
      </c>
      <c r="E60" s="80" t="s">
        <v>508</v>
      </c>
      <c r="F60" s="79" t="s">
        <v>509</v>
      </c>
      <c r="G60" s="79" t="s">
        <v>44</v>
      </c>
      <c r="H60" s="79"/>
    </row>
    <row r="61" customFormat="false" ht="15" hidden="false" customHeight="false" outlineLevel="0" collapsed="false">
      <c r="A61" s="79" t="n">
        <v>60</v>
      </c>
      <c r="B61" s="79" t="s">
        <v>5</v>
      </c>
      <c r="C61" s="79" t="s">
        <v>510</v>
      </c>
      <c r="D61" s="79" t="s">
        <v>511</v>
      </c>
      <c r="E61" s="80" t="s">
        <v>512</v>
      </c>
      <c r="F61" s="79" t="s">
        <v>440</v>
      </c>
      <c r="G61" s="79" t="s">
        <v>44</v>
      </c>
      <c r="H61" s="79"/>
    </row>
    <row r="62" customFormat="false" ht="15" hidden="false" customHeight="false" outlineLevel="0" collapsed="false">
      <c r="A62" s="79" t="n">
        <v>61</v>
      </c>
      <c r="B62" s="79" t="s">
        <v>5</v>
      </c>
      <c r="C62" s="79" t="s">
        <v>513</v>
      </c>
      <c r="D62" s="79" t="s">
        <v>514</v>
      </c>
      <c r="E62" s="80" t="s">
        <v>515</v>
      </c>
      <c r="F62" s="79" t="s">
        <v>516</v>
      </c>
      <c r="G62" s="79" t="s">
        <v>44</v>
      </c>
      <c r="H62" s="79"/>
    </row>
    <row r="63" customFormat="false" ht="15" hidden="false" customHeight="false" outlineLevel="0" collapsed="false">
      <c r="A63" s="79" t="n">
        <v>62</v>
      </c>
      <c r="B63" s="79" t="s">
        <v>5</v>
      </c>
      <c r="C63" s="79" t="s">
        <v>517</v>
      </c>
      <c r="D63" s="79" t="s">
        <v>518</v>
      </c>
      <c r="E63" s="80" t="s">
        <v>519</v>
      </c>
      <c r="F63" s="79" t="s">
        <v>520</v>
      </c>
      <c r="G63" s="79" t="s">
        <v>44</v>
      </c>
      <c r="H63" s="79"/>
    </row>
    <row r="64" customFormat="false" ht="15" hidden="false" customHeight="false" outlineLevel="0" collapsed="false">
      <c r="A64" s="79" t="n">
        <v>63</v>
      </c>
      <c r="B64" s="79" t="s">
        <v>5</v>
      </c>
      <c r="C64" s="79" t="s">
        <v>521</v>
      </c>
      <c r="D64" s="79" t="s">
        <v>522</v>
      </c>
      <c r="E64" s="80" t="s">
        <v>523</v>
      </c>
      <c r="F64" s="79" t="s">
        <v>524</v>
      </c>
      <c r="G64" s="79" t="s">
        <v>44</v>
      </c>
      <c r="H64" s="79"/>
    </row>
    <row r="65" customFormat="false" ht="15" hidden="false" customHeight="false" outlineLevel="0" collapsed="false">
      <c r="A65" s="79" t="n">
        <v>64</v>
      </c>
      <c r="B65" s="79" t="s">
        <v>5</v>
      </c>
      <c r="C65" s="79" t="s">
        <v>525</v>
      </c>
      <c r="D65" s="79" t="s">
        <v>526</v>
      </c>
      <c r="E65" s="80" t="s">
        <v>527</v>
      </c>
      <c r="F65" s="79" t="s">
        <v>528</v>
      </c>
      <c r="G65" s="79" t="s">
        <v>44</v>
      </c>
      <c r="H65" s="79"/>
    </row>
    <row r="66" customFormat="false" ht="15" hidden="false" customHeight="false" outlineLevel="0" collapsed="false">
      <c r="A66" s="79" t="n">
        <v>65</v>
      </c>
      <c r="B66" s="79" t="s">
        <v>5</v>
      </c>
      <c r="C66" s="79" t="s">
        <v>529</v>
      </c>
      <c r="D66" s="79" t="s">
        <v>530</v>
      </c>
      <c r="E66" s="80" t="s">
        <v>531</v>
      </c>
      <c r="F66" s="79" t="s">
        <v>532</v>
      </c>
      <c r="G66" s="79" t="s">
        <v>44</v>
      </c>
      <c r="H66" s="79"/>
    </row>
    <row r="67" customFormat="false" ht="15" hidden="false" customHeight="false" outlineLevel="0" collapsed="false">
      <c r="A67" s="79" t="n">
        <v>66</v>
      </c>
      <c r="B67" s="79" t="s">
        <v>5</v>
      </c>
      <c r="C67" s="79" t="s">
        <v>533</v>
      </c>
      <c r="D67" s="79" t="s">
        <v>534</v>
      </c>
      <c r="E67" s="80" t="s">
        <v>535</v>
      </c>
      <c r="F67" s="79" t="s">
        <v>536</v>
      </c>
      <c r="G67" s="79" t="s">
        <v>44</v>
      </c>
      <c r="H67" s="79"/>
    </row>
    <row r="68" customFormat="false" ht="15" hidden="false" customHeight="false" outlineLevel="0" collapsed="false">
      <c r="A68" s="79" t="n">
        <v>67</v>
      </c>
      <c r="B68" s="79" t="s">
        <v>5</v>
      </c>
      <c r="C68" s="79" t="s">
        <v>537</v>
      </c>
      <c r="D68" s="79" t="s">
        <v>538</v>
      </c>
      <c r="E68" s="80" t="s">
        <v>539</v>
      </c>
      <c r="F68" s="79" t="s">
        <v>540</v>
      </c>
      <c r="G68" s="79" t="s">
        <v>44</v>
      </c>
      <c r="H68" s="79"/>
    </row>
    <row r="69" customFormat="false" ht="15" hidden="false" customHeight="false" outlineLevel="0" collapsed="false">
      <c r="A69" s="79" t="n">
        <v>68</v>
      </c>
      <c r="B69" s="79" t="s">
        <v>5</v>
      </c>
      <c r="C69" s="79" t="s">
        <v>541</v>
      </c>
      <c r="D69" s="79" t="s">
        <v>542</v>
      </c>
      <c r="E69" s="80" t="s">
        <v>543</v>
      </c>
      <c r="F69" s="79" t="s">
        <v>544</v>
      </c>
      <c r="G69" s="79" t="s">
        <v>44</v>
      </c>
      <c r="H69" s="79"/>
    </row>
    <row r="70" customFormat="false" ht="15" hidden="false" customHeight="false" outlineLevel="0" collapsed="false">
      <c r="A70" s="79" t="n">
        <v>69</v>
      </c>
      <c r="B70" s="79" t="s">
        <v>5</v>
      </c>
      <c r="C70" s="79" t="s">
        <v>545</v>
      </c>
      <c r="D70" s="79" t="s">
        <v>546</v>
      </c>
      <c r="E70" s="80" t="s">
        <v>547</v>
      </c>
      <c r="F70" s="79" t="s">
        <v>548</v>
      </c>
      <c r="G70" s="79" t="s">
        <v>44</v>
      </c>
      <c r="H70" s="79"/>
    </row>
    <row r="71" customFormat="false" ht="15" hidden="false" customHeight="false" outlineLevel="0" collapsed="false">
      <c r="A71" s="79" t="n">
        <v>70</v>
      </c>
      <c r="B71" s="79" t="s">
        <v>5</v>
      </c>
      <c r="C71" s="79" t="s">
        <v>549</v>
      </c>
      <c r="D71" s="79" t="s">
        <v>550</v>
      </c>
      <c r="E71" s="80" t="s">
        <v>551</v>
      </c>
      <c r="F71" s="79" t="s">
        <v>552</v>
      </c>
      <c r="G71" s="79" t="s">
        <v>44</v>
      </c>
      <c r="H71" s="79"/>
    </row>
    <row r="72" customFormat="false" ht="15" hidden="false" customHeight="false" outlineLevel="0" collapsed="false">
      <c r="A72" s="79" t="n">
        <v>71</v>
      </c>
      <c r="B72" s="79" t="s">
        <v>5</v>
      </c>
      <c r="C72" s="79" t="s">
        <v>553</v>
      </c>
      <c r="D72" s="79" t="s">
        <v>554</v>
      </c>
      <c r="E72" s="80" t="s">
        <v>555</v>
      </c>
      <c r="F72" s="79" t="s">
        <v>532</v>
      </c>
      <c r="G72" s="79" t="s">
        <v>44</v>
      </c>
      <c r="H72" s="79"/>
    </row>
    <row r="73" customFormat="false" ht="15" hidden="false" customHeight="false" outlineLevel="0" collapsed="false">
      <c r="A73" s="79" t="n">
        <v>72</v>
      </c>
      <c r="B73" s="79" t="s">
        <v>5</v>
      </c>
      <c r="C73" s="79" t="s">
        <v>556</v>
      </c>
      <c r="D73" s="79" t="s">
        <v>557</v>
      </c>
      <c r="E73" s="80" t="s">
        <v>558</v>
      </c>
      <c r="F73" s="79" t="s">
        <v>559</v>
      </c>
      <c r="G73" s="79" t="s">
        <v>44</v>
      </c>
      <c r="H73" s="79"/>
    </row>
    <row r="74" customFormat="false" ht="15" hidden="false" customHeight="false" outlineLevel="0" collapsed="false">
      <c r="A74" s="79" t="n">
        <v>73</v>
      </c>
      <c r="B74" s="79" t="s">
        <v>5</v>
      </c>
      <c r="C74" s="79" t="s">
        <v>560</v>
      </c>
      <c r="D74" s="79" t="s">
        <v>561</v>
      </c>
      <c r="E74" s="80" t="s">
        <v>562</v>
      </c>
      <c r="F74" s="79" t="s">
        <v>563</v>
      </c>
      <c r="G74" s="79" t="s">
        <v>44</v>
      </c>
      <c r="H74" s="79"/>
    </row>
    <row r="75" customFormat="false" ht="15" hidden="false" customHeight="false" outlineLevel="0" collapsed="false">
      <c r="A75" s="79" t="n">
        <v>74</v>
      </c>
      <c r="B75" s="79" t="s">
        <v>5</v>
      </c>
      <c r="C75" s="79" t="s">
        <v>564</v>
      </c>
      <c r="D75" s="79" t="s">
        <v>565</v>
      </c>
      <c r="E75" s="80" t="s">
        <v>566</v>
      </c>
      <c r="F75" s="79" t="s">
        <v>567</v>
      </c>
      <c r="G75" s="79" t="s">
        <v>44</v>
      </c>
      <c r="H75" s="79"/>
    </row>
    <row r="76" customFormat="false" ht="15" hidden="false" customHeight="false" outlineLevel="0" collapsed="false">
      <c r="A76" s="79" t="n">
        <v>75</v>
      </c>
      <c r="B76" s="79" t="s">
        <v>5</v>
      </c>
      <c r="C76" s="79" t="s">
        <v>568</v>
      </c>
      <c r="D76" s="79" t="s">
        <v>569</v>
      </c>
      <c r="E76" s="80" t="s">
        <v>570</v>
      </c>
      <c r="F76" s="79" t="s">
        <v>571</v>
      </c>
      <c r="G76" s="79" t="s">
        <v>44</v>
      </c>
      <c r="H76" s="79"/>
    </row>
    <row r="77" customFormat="false" ht="15" hidden="false" customHeight="false" outlineLevel="0" collapsed="false">
      <c r="A77" s="79" t="n">
        <v>76</v>
      </c>
      <c r="B77" s="79" t="s">
        <v>5</v>
      </c>
      <c r="C77" s="79" t="s">
        <v>572</v>
      </c>
      <c r="D77" s="79" t="s">
        <v>573</v>
      </c>
      <c r="E77" s="80" t="s">
        <v>574</v>
      </c>
      <c r="F77" s="79" t="s">
        <v>575</v>
      </c>
      <c r="G77" s="79" t="s">
        <v>44</v>
      </c>
      <c r="H77" s="79"/>
    </row>
    <row r="78" customFormat="false" ht="15" hidden="false" customHeight="false" outlineLevel="0" collapsed="false">
      <c r="A78" s="79" t="n">
        <v>77</v>
      </c>
      <c r="B78" s="79" t="s">
        <v>5</v>
      </c>
      <c r="C78" s="79" t="s">
        <v>576</v>
      </c>
      <c r="D78" s="79" t="s">
        <v>577</v>
      </c>
      <c r="E78" s="80" t="s">
        <v>578</v>
      </c>
      <c r="F78" s="79" t="s">
        <v>579</v>
      </c>
      <c r="G78" s="79" t="s">
        <v>44</v>
      </c>
      <c r="H78" s="79"/>
    </row>
    <row r="79" customFormat="false" ht="15" hidden="false" customHeight="false" outlineLevel="0" collapsed="false">
      <c r="A79" s="79" t="n">
        <v>78</v>
      </c>
      <c r="B79" s="79" t="s">
        <v>5</v>
      </c>
      <c r="C79" s="79" t="s">
        <v>580</v>
      </c>
      <c r="D79" s="79" t="s">
        <v>581</v>
      </c>
      <c r="E79" s="80" t="s">
        <v>582</v>
      </c>
      <c r="F79" s="79" t="s">
        <v>390</v>
      </c>
      <c r="G79" s="79" t="s">
        <v>44</v>
      </c>
      <c r="H79" s="79" t="s">
        <v>583</v>
      </c>
    </row>
    <row r="80" customFormat="false" ht="15" hidden="false" customHeight="false" outlineLevel="0" collapsed="false">
      <c r="A80" s="79" t="n">
        <v>79</v>
      </c>
      <c r="B80" s="79" t="s">
        <v>5</v>
      </c>
      <c r="C80" s="79" t="s">
        <v>584</v>
      </c>
      <c r="D80" s="79" t="s">
        <v>585</v>
      </c>
      <c r="E80" s="80" t="s">
        <v>586</v>
      </c>
      <c r="F80" s="79" t="s">
        <v>587</v>
      </c>
      <c r="G80" s="79" t="s">
        <v>44</v>
      </c>
      <c r="H80" s="79" t="s">
        <v>583</v>
      </c>
    </row>
    <row r="81" customFormat="false" ht="15" hidden="false" customHeight="false" outlineLevel="0" collapsed="false">
      <c r="A81" s="79" t="n">
        <v>80</v>
      </c>
      <c r="B81" s="79" t="s">
        <v>5</v>
      </c>
      <c r="C81" s="79" t="s">
        <v>588</v>
      </c>
      <c r="D81" s="79" t="s">
        <v>589</v>
      </c>
      <c r="E81" s="80" t="s">
        <v>590</v>
      </c>
      <c r="F81" s="79" t="s">
        <v>591</v>
      </c>
      <c r="G81" s="79" t="s">
        <v>44</v>
      </c>
      <c r="H81" s="79" t="s">
        <v>583</v>
      </c>
    </row>
    <row r="82" customFormat="false" ht="15" hidden="false" customHeight="false" outlineLevel="0" collapsed="false">
      <c r="A82" s="79" t="n">
        <v>81</v>
      </c>
      <c r="B82" s="79" t="s">
        <v>5</v>
      </c>
      <c r="C82" s="79" t="s">
        <v>592</v>
      </c>
      <c r="D82" s="79" t="s">
        <v>593</v>
      </c>
      <c r="E82" s="80" t="s">
        <v>594</v>
      </c>
      <c r="F82" s="79" t="s">
        <v>595</v>
      </c>
      <c r="G82" s="79" t="s">
        <v>44</v>
      </c>
      <c r="H82" s="79"/>
    </row>
    <row r="83" customFormat="false" ht="15" hidden="false" customHeight="false" outlineLevel="0" collapsed="false">
      <c r="A83" s="79" t="n">
        <v>82</v>
      </c>
      <c r="B83" s="79" t="s">
        <v>5</v>
      </c>
      <c r="C83" s="79" t="s">
        <v>596</v>
      </c>
      <c r="D83" s="79" t="s">
        <v>597</v>
      </c>
      <c r="E83" s="80" t="s">
        <v>598</v>
      </c>
      <c r="F83" s="79" t="s">
        <v>599</v>
      </c>
      <c r="G83" s="79" t="s">
        <v>44</v>
      </c>
      <c r="H83" s="79"/>
    </row>
    <row r="84" customFormat="false" ht="15" hidden="false" customHeight="false" outlineLevel="0" collapsed="false">
      <c r="A84" s="79" t="n">
        <v>83</v>
      </c>
      <c r="B84" s="79" t="s">
        <v>5</v>
      </c>
      <c r="C84" s="79" t="s">
        <v>600</v>
      </c>
      <c r="D84" s="79" t="s">
        <v>601</v>
      </c>
      <c r="E84" s="80" t="s">
        <v>602</v>
      </c>
      <c r="F84" s="79" t="s">
        <v>603</v>
      </c>
      <c r="G84" s="79" t="s">
        <v>44</v>
      </c>
      <c r="H84" s="79"/>
    </row>
    <row r="85" customFormat="false" ht="15" hidden="false" customHeight="false" outlineLevel="0" collapsed="false">
      <c r="A85" s="79" t="n">
        <v>84</v>
      </c>
      <c r="B85" s="79" t="s">
        <v>5</v>
      </c>
      <c r="C85" s="79" t="s">
        <v>604</v>
      </c>
      <c r="D85" s="79" t="s">
        <v>605</v>
      </c>
      <c r="E85" s="80" t="s">
        <v>606</v>
      </c>
      <c r="F85" s="79" t="s">
        <v>607</v>
      </c>
      <c r="G85" s="79" t="s">
        <v>46</v>
      </c>
      <c r="H85" s="79"/>
    </row>
    <row r="86" customFormat="false" ht="15" hidden="false" customHeight="false" outlineLevel="0" collapsed="false">
      <c r="A86" s="79" t="n">
        <v>85</v>
      </c>
      <c r="B86" s="79" t="s">
        <v>5</v>
      </c>
      <c r="C86" s="79" t="s">
        <v>608</v>
      </c>
      <c r="D86" s="79" t="s">
        <v>609</v>
      </c>
      <c r="E86" s="80" t="s">
        <v>610</v>
      </c>
      <c r="F86" s="79" t="s">
        <v>611</v>
      </c>
      <c r="G86" s="79" t="s">
        <v>46</v>
      </c>
      <c r="H86" s="79"/>
    </row>
    <row r="87" customFormat="false" ht="15" hidden="false" customHeight="false" outlineLevel="0" collapsed="false">
      <c r="A87" s="79" t="n">
        <v>86</v>
      </c>
      <c r="B87" s="79" t="s">
        <v>5</v>
      </c>
      <c r="C87" s="79" t="s">
        <v>612</v>
      </c>
      <c r="D87" s="79" t="s">
        <v>613</v>
      </c>
      <c r="E87" s="80" t="s">
        <v>614</v>
      </c>
      <c r="F87" s="79" t="s">
        <v>615</v>
      </c>
      <c r="G87" s="79" t="s">
        <v>46</v>
      </c>
      <c r="H87" s="79" t="s">
        <v>616</v>
      </c>
    </row>
    <row r="88" customFormat="false" ht="15" hidden="false" customHeight="false" outlineLevel="0" collapsed="false">
      <c r="A88" s="79" t="n">
        <v>87</v>
      </c>
      <c r="B88" s="79" t="s">
        <v>5</v>
      </c>
      <c r="C88" s="79" t="s">
        <v>617</v>
      </c>
      <c r="D88" s="79" t="s">
        <v>618</v>
      </c>
      <c r="E88" s="80" t="s">
        <v>619</v>
      </c>
      <c r="F88" s="79" t="s">
        <v>620</v>
      </c>
      <c r="G88" s="79" t="s">
        <v>46</v>
      </c>
      <c r="H88" s="79"/>
    </row>
    <row r="89" customFormat="false" ht="15" hidden="false" customHeight="false" outlineLevel="0" collapsed="false">
      <c r="A89" s="79" t="n">
        <v>88</v>
      </c>
      <c r="B89" s="79" t="s">
        <v>5</v>
      </c>
      <c r="C89" s="79" t="s">
        <v>621</v>
      </c>
      <c r="D89" s="79" t="s">
        <v>622</v>
      </c>
      <c r="E89" s="80" t="s">
        <v>623</v>
      </c>
      <c r="F89" s="79" t="s">
        <v>624</v>
      </c>
      <c r="G89" s="79" t="s">
        <v>46</v>
      </c>
      <c r="H89" s="79"/>
    </row>
    <row r="90" customFormat="false" ht="15" hidden="false" customHeight="false" outlineLevel="0" collapsed="false">
      <c r="A90" s="79" t="n">
        <v>89</v>
      </c>
      <c r="B90" s="79" t="s">
        <v>5</v>
      </c>
      <c r="C90" s="79" t="s">
        <v>625</v>
      </c>
      <c r="D90" s="79" t="s">
        <v>626</v>
      </c>
      <c r="E90" s="80" t="s">
        <v>627</v>
      </c>
      <c r="F90" s="79" t="s">
        <v>628</v>
      </c>
      <c r="G90" s="79" t="s">
        <v>46</v>
      </c>
      <c r="H90" s="79" t="s">
        <v>629</v>
      </c>
    </row>
    <row r="91" customFormat="false" ht="15" hidden="false" customHeight="false" outlineLevel="0" collapsed="false">
      <c r="A91" s="79" t="n">
        <v>90</v>
      </c>
      <c r="B91" s="79" t="s">
        <v>5</v>
      </c>
      <c r="C91" s="79" t="s">
        <v>379</v>
      </c>
      <c r="D91" s="79" t="s">
        <v>630</v>
      </c>
      <c r="E91" s="80" t="s">
        <v>631</v>
      </c>
      <c r="F91" s="79" t="s">
        <v>632</v>
      </c>
      <c r="G91" s="79" t="s">
        <v>46</v>
      </c>
      <c r="H91" s="79"/>
    </row>
    <row r="92" customFormat="false" ht="15" hidden="false" customHeight="false" outlineLevel="0" collapsed="false">
      <c r="A92" s="79" t="n">
        <v>91</v>
      </c>
      <c r="B92" s="79" t="s">
        <v>5</v>
      </c>
      <c r="C92" s="79" t="s">
        <v>633</v>
      </c>
      <c r="D92" s="79" t="s">
        <v>634</v>
      </c>
      <c r="E92" s="80" t="s">
        <v>635</v>
      </c>
      <c r="F92" s="79" t="s">
        <v>636</v>
      </c>
      <c r="G92" s="79" t="s">
        <v>46</v>
      </c>
      <c r="H92" s="79"/>
    </row>
    <row r="93" customFormat="false" ht="15" hidden="false" customHeight="false" outlineLevel="0" collapsed="false">
      <c r="A93" s="79" t="n">
        <v>92</v>
      </c>
      <c r="B93" s="79" t="s">
        <v>5</v>
      </c>
      <c r="C93" s="79" t="s">
        <v>637</v>
      </c>
      <c r="D93" s="79" t="s">
        <v>638</v>
      </c>
      <c r="E93" s="80" t="s">
        <v>639</v>
      </c>
      <c r="F93" s="79" t="s">
        <v>640</v>
      </c>
      <c r="G93" s="79" t="s">
        <v>46</v>
      </c>
      <c r="H93" s="79"/>
    </row>
    <row r="94" customFormat="false" ht="15" hidden="false" customHeight="false" outlineLevel="0" collapsed="false">
      <c r="A94" s="79" t="n">
        <v>93</v>
      </c>
      <c r="B94" s="79" t="s">
        <v>5</v>
      </c>
      <c r="C94" s="79" t="s">
        <v>641</v>
      </c>
      <c r="D94" s="79" t="s">
        <v>642</v>
      </c>
      <c r="E94" s="80" t="s">
        <v>643</v>
      </c>
      <c r="F94" s="79" t="s">
        <v>644</v>
      </c>
      <c r="G94" s="79" t="s">
        <v>46</v>
      </c>
      <c r="H94" s="79" t="s">
        <v>645</v>
      </c>
    </row>
    <row r="95" customFormat="false" ht="15" hidden="false" customHeight="false" outlineLevel="0" collapsed="false">
      <c r="A95" s="79" t="n">
        <v>94</v>
      </c>
      <c r="B95" s="79" t="s">
        <v>5</v>
      </c>
      <c r="C95" s="79" t="s">
        <v>646</v>
      </c>
      <c r="D95" s="79" t="s">
        <v>647</v>
      </c>
      <c r="E95" s="80" t="s">
        <v>648</v>
      </c>
      <c r="F95" s="79" t="s">
        <v>649</v>
      </c>
      <c r="G95" s="79" t="s">
        <v>46</v>
      </c>
      <c r="H95" s="79"/>
    </row>
    <row r="96" customFormat="false" ht="15" hidden="false" customHeight="false" outlineLevel="0" collapsed="false">
      <c r="A96" s="79" t="n">
        <v>95</v>
      </c>
      <c r="B96" s="79" t="s">
        <v>5</v>
      </c>
      <c r="C96" s="79" t="s">
        <v>650</v>
      </c>
      <c r="D96" s="79" t="s">
        <v>651</v>
      </c>
      <c r="E96" s="80" t="s">
        <v>652</v>
      </c>
      <c r="F96" s="79" t="s">
        <v>653</v>
      </c>
      <c r="G96" s="79" t="s">
        <v>46</v>
      </c>
      <c r="H96" s="79"/>
    </row>
    <row r="97" customFormat="false" ht="15" hidden="false" customHeight="false" outlineLevel="0" collapsed="false">
      <c r="A97" s="79" t="n">
        <v>96</v>
      </c>
      <c r="B97" s="79" t="s">
        <v>5</v>
      </c>
      <c r="C97" s="79" t="s">
        <v>654</v>
      </c>
      <c r="D97" s="79" t="s">
        <v>655</v>
      </c>
      <c r="E97" s="80" t="s">
        <v>656</v>
      </c>
      <c r="F97" s="79" t="s">
        <v>657</v>
      </c>
      <c r="G97" s="79" t="s">
        <v>46</v>
      </c>
      <c r="H97" s="79"/>
    </row>
    <row r="98" customFormat="false" ht="15" hidden="false" customHeight="false" outlineLevel="0" collapsed="false">
      <c r="A98" s="79" t="n">
        <v>97</v>
      </c>
      <c r="B98" s="79" t="s">
        <v>5</v>
      </c>
      <c r="C98" s="79" t="s">
        <v>658</v>
      </c>
      <c r="D98" s="79" t="s">
        <v>659</v>
      </c>
      <c r="E98" s="80" t="s">
        <v>660</v>
      </c>
      <c r="F98" s="79" t="s">
        <v>661</v>
      </c>
      <c r="G98" s="79" t="s">
        <v>46</v>
      </c>
      <c r="H98" s="79"/>
    </row>
    <row r="99" customFormat="false" ht="15" hidden="false" customHeight="false" outlineLevel="0" collapsed="false">
      <c r="A99" s="79" t="n">
        <v>98</v>
      </c>
      <c r="B99" s="79" t="s">
        <v>5</v>
      </c>
      <c r="C99" s="79" t="s">
        <v>662</v>
      </c>
      <c r="D99" s="79" t="s">
        <v>663</v>
      </c>
      <c r="E99" s="80" t="s">
        <v>627</v>
      </c>
      <c r="F99" s="79" t="s">
        <v>628</v>
      </c>
      <c r="G99" s="79" t="s">
        <v>48</v>
      </c>
      <c r="H99" s="79" t="s">
        <v>664</v>
      </c>
    </row>
    <row r="100" customFormat="false" ht="15" hidden="false" customHeight="false" outlineLevel="0" collapsed="false">
      <c r="A100" s="79" t="n">
        <v>99</v>
      </c>
      <c r="B100" s="79" t="s">
        <v>5</v>
      </c>
      <c r="C100" s="79" t="s">
        <v>665</v>
      </c>
      <c r="D100" s="79" t="s">
        <v>666</v>
      </c>
      <c r="E100" s="80" t="s">
        <v>667</v>
      </c>
      <c r="F100" s="79" t="s">
        <v>668</v>
      </c>
      <c r="G100" s="79" t="s">
        <v>48</v>
      </c>
      <c r="H100" s="79"/>
    </row>
    <row r="101" customFormat="false" ht="15" hidden="false" customHeight="false" outlineLevel="0" collapsed="false">
      <c r="A101" s="79" t="n">
        <v>100</v>
      </c>
      <c r="B101" s="79" t="s">
        <v>5</v>
      </c>
      <c r="C101" s="79" t="s">
        <v>669</v>
      </c>
      <c r="D101" s="79" t="s">
        <v>670</v>
      </c>
      <c r="E101" s="80" t="s">
        <v>671</v>
      </c>
      <c r="F101" s="79" t="s">
        <v>672</v>
      </c>
      <c r="G101" s="79" t="s">
        <v>48</v>
      </c>
      <c r="H101" s="79"/>
    </row>
    <row r="102" customFormat="false" ht="15" hidden="false" customHeight="false" outlineLevel="0" collapsed="false">
      <c r="A102" s="79" t="n">
        <v>101</v>
      </c>
      <c r="B102" s="79" t="s">
        <v>5</v>
      </c>
      <c r="C102" s="79" t="s">
        <v>673</v>
      </c>
      <c r="D102" s="79" t="s">
        <v>674</v>
      </c>
      <c r="E102" s="80" t="s">
        <v>675</v>
      </c>
      <c r="F102" s="79" t="s">
        <v>676</v>
      </c>
      <c r="G102" s="79" t="s">
        <v>48</v>
      </c>
      <c r="H102" s="79"/>
    </row>
    <row r="103" customFormat="false" ht="15" hidden="false" customHeight="false" outlineLevel="0" collapsed="false">
      <c r="A103" s="79" t="n">
        <v>102</v>
      </c>
      <c r="B103" s="79" t="s">
        <v>5</v>
      </c>
      <c r="C103" s="79" t="s">
        <v>677</v>
      </c>
      <c r="D103" s="79" t="s">
        <v>678</v>
      </c>
      <c r="E103" s="80" t="s">
        <v>679</v>
      </c>
      <c r="F103" s="79" t="s">
        <v>680</v>
      </c>
      <c r="G103" s="79" t="s">
        <v>48</v>
      </c>
      <c r="H103" s="79"/>
    </row>
    <row r="104" customFormat="false" ht="15" hidden="false" customHeight="false" outlineLevel="0" collapsed="false">
      <c r="A104" s="79" t="n">
        <v>103</v>
      </c>
      <c r="B104" s="79" t="s">
        <v>5</v>
      </c>
      <c r="C104" s="79" t="s">
        <v>681</v>
      </c>
      <c r="D104" s="79" t="s">
        <v>682</v>
      </c>
      <c r="E104" s="80" t="s">
        <v>683</v>
      </c>
      <c r="F104" s="79" t="s">
        <v>684</v>
      </c>
      <c r="G104" s="79" t="s">
        <v>48</v>
      </c>
      <c r="H104" s="79"/>
    </row>
    <row r="105" customFormat="false" ht="15" hidden="false" customHeight="false" outlineLevel="0" collapsed="false">
      <c r="A105" s="79" t="n">
        <v>104</v>
      </c>
      <c r="B105" s="79" t="s">
        <v>5</v>
      </c>
      <c r="C105" s="79" t="s">
        <v>685</v>
      </c>
      <c r="D105" s="79" t="s">
        <v>686</v>
      </c>
      <c r="E105" s="80" t="s">
        <v>687</v>
      </c>
      <c r="F105" s="79" t="s">
        <v>688</v>
      </c>
      <c r="G105" s="79" t="s">
        <v>48</v>
      </c>
      <c r="H105" s="79"/>
    </row>
    <row r="106" customFormat="false" ht="15" hidden="false" customHeight="false" outlineLevel="0" collapsed="false">
      <c r="A106" s="79" t="n">
        <v>105</v>
      </c>
      <c r="B106" s="79" t="s">
        <v>5</v>
      </c>
      <c r="C106" s="79" t="s">
        <v>689</v>
      </c>
      <c r="D106" s="79" t="s">
        <v>690</v>
      </c>
      <c r="E106" s="80" t="s">
        <v>691</v>
      </c>
      <c r="F106" s="79" t="s">
        <v>692</v>
      </c>
      <c r="G106" s="79" t="s">
        <v>48</v>
      </c>
      <c r="H106" s="79"/>
    </row>
    <row r="107" customFormat="false" ht="15" hidden="false" customHeight="false" outlineLevel="0" collapsed="false">
      <c r="A107" s="79" t="n">
        <v>106</v>
      </c>
      <c r="B107" s="79" t="s">
        <v>5</v>
      </c>
      <c r="C107" s="79" t="s">
        <v>693</v>
      </c>
      <c r="D107" s="79" t="s">
        <v>694</v>
      </c>
      <c r="E107" s="80" t="s">
        <v>695</v>
      </c>
      <c r="F107" s="79" t="s">
        <v>696</v>
      </c>
      <c r="G107" s="79" t="s">
        <v>48</v>
      </c>
      <c r="H107" s="79"/>
    </row>
    <row r="108" customFormat="false" ht="15" hidden="false" customHeight="false" outlineLevel="0" collapsed="false">
      <c r="A108" s="79" t="n">
        <v>107</v>
      </c>
      <c r="B108" s="79" t="s">
        <v>5</v>
      </c>
      <c r="C108" s="79" t="s">
        <v>697</v>
      </c>
      <c r="D108" s="79" t="s">
        <v>698</v>
      </c>
      <c r="E108" s="80" t="s">
        <v>699</v>
      </c>
      <c r="F108" s="79" t="s">
        <v>700</v>
      </c>
      <c r="G108" s="79" t="s">
        <v>48</v>
      </c>
      <c r="H108" s="79"/>
    </row>
    <row r="109" customFormat="false" ht="15" hidden="false" customHeight="false" outlineLevel="0" collapsed="false">
      <c r="A109" s="79" t="n">
        <v>108</v>
      </c>
      <c r="B109" s="79" t="s">
        <v>5</v>
      </c>
      <c r="C109" s="79" t="s">
        <v>701</v>
      </c>
      <c r="D109" s="79" t="s">
        <v>702</v>
      </c>
      <c r="E109" s="80" t="s">
        <v>703</v>
      </c>
      <c r="F109" s="79" t="s">
        <v>704</v>
      </c>
      <c r="G109" s="79" t="s">
        <v>48</v>
      </c>
      <c r="H109" s="79"/>
    </row>
    <row r="110" customFormat="false" ht="15" hidden="false" customHeight="false" outlineLevel="0" collapsed="false">
      <c r="A110" s="79" t="n">
        <v>109</v>
      </c>
      <c r="B110" s="79" t="s">
        <v>5</v>
      </c>
      <c r="C110" s="79" t="s">
        <v>705</v>
      </c>
      <c r="D110" s="79" t="s">
        <v>706</v>
      </c>
      <c r="E110" s="80" t="s">
        <v>707</v>
      </c>
      <c r="F110" s="79" t="s">
        <v>708</v>
      </c>
      <c r="G110" s="79" t="s">
        <v>48</v>
      </c>
      <c r="H110" s="79"/>
    </row>
    <row r="111" customFormat="false" ht="15" hidden="false" customHeight="false" outlineLevel="0" collapsed="false">
      <c r="A111" s="79" t="n">
        <v>110</v>
      </c>
      <c r="B111" s="79" t="s">
        <v>5</v>
      </c>
      <c r="C111" s="79" t="s">
        <v>709</v>
      </c>
      <c r="D111" s="79" t="s">
        <v>710</v>
      </c>
      <c r="E111" s="80" t="s">
        <v>711</v>
      </c>
      <c r="F111" s="79" t="s">
        <v>712</v>
      </c>
      <c r="G111" s="79" t="s">
        <v>48</v>
      </c>
      <c r="H111" s="79"/>
    </row>
    <row r="112" customFormat="false" ht="15" hidden="false" customHeight="false" outlineLevel="0" collapsed="false">
      <c r="A112" s="79" t="n">
        <v>111</v>
      </c>
      <c r="B112" s="79" t="s">
        <v>5</v>
      </c>
      <c r="C112" s="79" t="s">
        <v>713</v>
      </c>
      <c r="D112" s="79" t="s">
        <v>714</v>
      </c>
      <c r="E112" s="80" t="s">
        <v>715</v>
      </c>
      <c r="F112" s="79" t="s">
        <v>716</v>
      </c>
      <c r="G112" s="79" t="s">
        <v>48</v>
      </c>
      <c r="H112" s="79"/>
    </row>
    <row r="113" customFormat="false" ht="15" hidden="false" customHeight="false" outlineLevel="0" collapsed="false">
      <c r="A113" s="79" t="n">
        <v>112</v>
      </c>
      <c r="B113" s="79" t="s">
        <v>5</v>
      </c>
      <c r="C113" s="79" t="s">
        <v>717</v>
      </c>
      <c r="D113" s="79" t="s">
        <v>718</v>
      </c>
      <c r="E113" s="80" t="s">
        <v>719</v>
      </c>
      <c r="F113" s="79" t="s">
        <v>720</v>
      </c>
      <c r="G113" s="79" t="s">
        <v>48</v>
      </c>
      <c r="H113" s="79"/>
    </row>
    <row r="114" customFormat="false" ht="15" hidden="false" customHeight="false" outlineLevel="0" collapsed="false">
      <c r="A114" s="79" t="n">
        <v>113</v>
      </c>
      <c r="B114" s="79" t="s">
        <v>5</v>
      </c>
      <c r="C114" s="79" t="s">
        <v>721</v>
      </c>
      <c r="D114" s="79" t="s">
        <v>722</v>
      </c>
      <c r="E114" s="80" t="s">
        <v>723</v>
      </c>
      <c r="F114" s="79" t="s">
        <v>724</v>
      </c>
      <c r="G114" s="79" t="s">
        <v>48</v>
      </c>
      <c r="H114" s="79"/>
    </row>
    <row r="115" customFormat="false" ht="15" hidden="false" customHeight="false" outlineLevel="0" collapsed="false">
      <c r="A115" s="79" t="n">
        <v>114</v>
      </c>
      <c r="B115" s="79" t="s">
        <v>5</v>
      </c>
      <c r="C115" s="79" t="s">
        <v>725</v>
      </c>
      <c r="D115" s="79" t="s">
        <v>726</v>
      </c>
      <c r="E115" s="80" t="s">
        <v>727</v>
      </c>
      <c r="F115" s="79" t="s">
        <v>724</v>
      </c>
      <c r="G115" s="79" t="s">
        <v>48</v>
      </c>
      <c r="H115" s="79" t="s">
        <v>728</v>
      </c>
    </row>
    <row r="116" customFormat="false" ht="15" hidden="false" customHeight="false" outlineLevel="0" collapsed="false">
      <c r="A116" s="79" t="n">
        <v>115</v>
      </c>
      <c r="B116" s="79" t="s">
        <v>5</v>
      </c>
      <c r="C116" s="79" t="s">
        <v>729</v>
      </c>
      <c r="D116" s="79" t="s">
        <v>730</v>
      </c>
      <c r="E116" s="80" t="s">
        <v>731</v>
      </c>
      <c r="F116" s="79" t="s">
        <v>732</v>
      </c>
      <c r="G116" s="79" t="s">
        <v>48</v>
      </c>
      <c r="H116" s="79"/>
    </row>
    <row r="117" customFormat="false" ht="15" hidden="false" customHeight="false" outlineLevel="0" collapsed="false">
      <c r="A117" s="79" t="n">
        <v>116</v>
      </c>
      <c r="B117" s="79" t="s">
        <v>5</v>
      </c>
      <c r="C117" s="79" t="s">
        <v>733</v>
      </c>
      <c r="D117" s="79" t="s">
        <v>734</v>
      </c>
      <c r="E117" s="80" t="s">
        <v>735</v>
      </c>
      <c r="F117" s="79" t="s">
        <v>736</v>
      </c>
      <c r="G117" s="79" t="s">
        <v>48</v>
      </c>
      <c r="H117" s="79"/>
    </row>
    <row r="118" customFormat="false" ht="15" hidden="false" customHeight="false" outlineLevel="0" collapsed="false">
      <c r="A118" s="79" t="n">
        <v>117</v>
      </c>
      <c r="B118" s="79" t="s">
        <v>5</v>
      </c>
      <c r="C118" s="79" t="s">
        <v>737</v>
      </c>
      <c r="D118" s="79" t="s">
        <v>738</v>
      </c>
      <c r="E118" s="80" t="s">
        <v>739</v>
      </c>
      <c r="F118" s="79" t="s">
        <v>740</v>
      </c>
      <c r="G118" s="79" t="s">
        <v>48</v>
      </c>
      <c r="H118" s="79"/>
    </row>
    <row r="119" customFormat="false" ht="15" hidden="false" customHeight="false" outlineLevel="0" collapsed="false">
      <c r="A119" s="79" t="n">
        <v>118</v>
      </c>
      <c r="B119" s="79" t="s">
        <v>5</v>
      </c>
      <c r="C119" s="79" t="s">
        <v>741</v>
      </c>
      <c r="D119" s="79" t="s">
        <v>742</v>
      </c>
      <c r="E119" s="80" t="s">
        <v>743</v>
      </c>
      <c r="F119" s="79" t="s">
        <v>744</v>
      </c>
      <c r="G119" s="79" t="s">
        <v>48</v>
      </c>
      <c r="H119" s="79" t="s">
        <v>745</v>
      </c>
    </row>
    <row r="120" customFormat="false" ht="15" hidden="false" customHeight="false" outlineLevel="0" collapsed="false">
      <c r="A120" s="79" t="n">
        <v>119</v>
      </c>
      <c r="B120" s="79" t="s">
        <v>5</v>
      </c>
      <c r="C120" s="79" t="s">
        <v>746</v>
      </c>
      <c r="D120" s="79" t="s">
        <v>747</v>
      </c>
      <c r="E120" s="80" t="s">
        <v>748</v>
      </c>
      <c r="F120" s="79" t="s">
        <v>749</v>
      </c>
      <c r="G120" s="79" t="s">
        <v>48</v>
      </c>
      <c r="H120" s="79"/>
    </row>
    <row r="121" customFormat="false" ht="15" hidden="false" customHeight="false" outlineLevel="0" collapsed="false">
      <c r="A121" s="79" t="n">
        <v>120</v>
      </c>
      <c r="B121" s="79" t="s">
        <v>5</v>
      </c>
      <c r="C121" s="79" t="s">
        <v>750</v>
      </c>
      <c r="D121" s="79" t="s">
        <v>751</v>
      </c>
      <c r="E121" s="80" t="s">
        <v>752</v>
      </c>
      <c r="F121" s="79" t="s">
        <v>327</v>
      </c>
      <c r="G121" s="79" t="s">
        <v>48</v>
      </c>
      <c r="H121" s="79"/>
    </row>
    <row r="122" customFormat="false" ht="15" hidden="false" customHeight="false" outlineLevel="0" collapsed="false">
      <c r="A122" s="79" t="n">
        <v>121</v>
      </c>
      <c r="B122" s="79" t="s">
        <v>5</v>
      </c>
      <c r="C122" s="79" t="s">
        <v>753</v>
      </c>
      <c r="D122" s="79" t="s">
        <v>754</v>
      </c>
      <c r="E122" s="80" t="s">
        <v>755</v>
      </c>
      <c r="F122" s="79" t="s">
        <v>756</v>
      </c>
      <c r="G122" s="79" t="s">
        <v>48</v>
      </c>
      <c r="H122" s="79"/>
    </row>
    <row r="123" customFormat="false" ht="15" hidden="false" customHeight="false" outlineLevel="0" collapsed="false">
      <c r="A123" s="79" t="n">
        <v>122</v>
      </c>
      <c r="B123" s="79" t="s">
        <v>5</v>
      </c>
      <c r="C123" s="79" t="s">
        <v>757</v>
      </c>
      <c r="D123" s="79" t="s">
        <v>758</v>
      </c>
      <c r="E123" s="80" t="s">
        <v>759</v>
      </c>
      <c r="F123" s="79" t="s">
        <v>760</v>
      </c>
      <c r="G123" s="79" t="s">
        <v>48</v>
      </c>
      <c r="H123" s="79"/>
    </row>
    <row r="124" customFormat="false" ht="15" hidden="false" customHeight="false" outlineLevel="0" collapsed="false">
      <c r="A124" s="79" t="n">
        <v>123</v>
      </c>
      <c r="B124" s="79" t="s">
        <v>5</v>
      </c>
      <c r="C124" s="79" t="s">
        <v>761</v>
      </c>
      <c r="D124" s="79" t="s">
        <v>762</v>
      </c>
      <c r="E124" s="80" t="s">
        <v>763</v>
      </c>
      <c r="F124" s="79" t="s">
        <v>764</v>
      </c>
      <c r="G124" s="79" t="s">
        <v>48</v>
      </c>
      <c r="H124" s="79"/>
    </row>
    <row r="125" customFormat="false" ht="15" hidden="false" customHeight="false" outlineLevel="0" collapsed="false">
      <c r="A125" s="79" t="n">
        <v>124</v>
      </c>
      <c r="B125" s="79" t="s">
        <v>5</v>
      </c>
      <c r="C125" s="79" t="s">
        <v>765</v>
      </c>
      <c r="D125" s="79" t="s">
        <v>766</v>
      </c>
      <c r="E125" s="80" t="s">
        <v>767</v>
      </c>
      <c r="F125" s="79" t="s">
        <v>768</v>
      </c>
      <c r="G125" s="79" t="s">
        <v>48</v>
      </c>
      <c r="H125" s="79"/>
    </row>
    <row r="126" customFormat="false" ht="15" hidden="false" customHeight="false" outlineLevel="0" collapsed="false">
      <c r="A126" s="79" t="n">
        <v>125</v>
      </c>
      <c r="B126" s="79" t="s">
        <v>5</v>
      </c>
      <c r="C126" s="79" t="s">
        <v>769</v>
      </c>
      <c r="D126" s="79" t="s">
        <v>770</v>
      </c>
      <c r="E126" s="80" t="s">
        <v>771</v>
      </c>
      <c r="F126" s="79" t="s">
        <v>772</v>
      </c>
      <c r="G126" s="79" t="s">
        <v>48</v>
      </c>
      <c r="H126" s="79" t="s">
        <v>773</v>
      </c>
    </row>
    <row r="127" customFormat="false" ht="15" hidden="false" customHeight="false" outlineLevel="0" collapsed="false">
      <c r="A127" s="79" t="n">
        <v>126</v>
      </c>
      <c r="B127" s="79" t="s">
        <v>5</v>
      </c>
      <c r="C127" s="79" t="s">
        <v>774</v>
      </c>
      <c r="D127" s="79" t="s">
        <v>775</v>
      </c>
      <c r="E127" s="80" t="s">
        <v>776</v>
      </c>
      <c r="F127" s="79" t="s">
        <v>777</v>
      </c>
      <c r="G127" s="79" t="s">
        <v>48</v>
      </c>
      <c r="H127" s="79"/>
    </row>
    <row r="128" customFormat="false" ht="15" hidden="false" customHeight="false" outlineLevel="0" collapsed="false">
      <c r="A128" s="79" t="n">
        <v>127</v>
      </c>
      <c r="B128" s="79" t="s">
        <v>5</v>
      </c>
      <c r="C128" s="79" t="s">
        <v>778</v>
      </c>
      <c r="D128" s="79" t="s">
        <v>779</v>
      </c>
      <c r="E128" s="80" t="s">
        <v>780</v>
      </c>
      <c r="F128" s="79" t="s">
        <v>700</v>
      </c>
      <c r="G128" s="79" t="s">
        <v>48</v>
      </c>
      <c r="H128" s="79"/>
    </row>
    <row r="129" customFormat="false" ht="15" hidden="false" customHeight="false" outlineLevel="0" collapsed="false">
      <c r="A129" s="79" t="n">
        <v>128</v>
      </c>
      <c r="B129" s="79" t="s">
        <v>5</v>
      </c>
      <c r="C129" s="79" t="s">
        <v>781</v>
      </c>
      <c r="D129" s="79" t="s">
        <v>782</v>
      </c>
      <c r="E129" s="80" t="s">
        <v>783</v>
      </c>
      <c r="F129" s="79" t="s">
        <v>784</v>
      </c>
      <c r="G129" s="79" t="s">
        <v>48</v>
      </c>
      <c r="H129" s="79"/>
    </row>
    <row r="130" customFormat="false" ht="15" hidden="false" customHeight="false" outlineLevel="0" collapsed="false">
      <c r="A130" s="79" t="n">
        <v>129</v>
      </c>
      <c r="B130" s="79" t="s">
        <v>5</v>
      </c>
      <c r="C130" s="79" t="s">
        <v>785</v>
      </c>
      <c r="D130" s="79" t="s">
        <v>786</v>
      </c>
      <c r="E130" s="80" t="s">
        <v>787</v>
      </c>
      <c r="F130" s="79" t="s">
        <v>788</v>
      </c>
      <c r="G130" s="79" t="s">
        <v>48</v>
      </c>
      <c r="H130" s="79"/>
    </row>
    <row r="131" customFormat="false" ht="15" hidden="false" customHeight="false" outlineLevel="0" collapsed="false">
      <c r="A131" s="79" t="n">
        <v>130</v>
      </c>
      <c r="B131" s="79" t="s">
        <v>5</v>
      </c>
      <c r="C131" s="79" t="s">
        <v>789</v>
      </c>
      <c r="D131" s="79" t="s">
        <v>790</v>
      </c>
      <c r="E131" s="80" t="s">
        <v>791</v>
      </c>
      <c r="F131" s="79" t="s">
        <v>792</v>
      </c>
      <c r="G131" s="79" t="s">
        <v>48</v>
      </c>
      <c r="H131" s="79"/>
    </row>
    <row r="132" customFormat="false" ht="15" hidden="false" customHeight="false" outlineLevel="0" collapsed="false">
      <c r="A132" s="79" t="n">
        <v>131</v>
      </c>
      <c r="B132" s="79" t="s">
        <v>5</v>
      </c>
      <c r="C132" s="79" t="s">
        <v>793</v>
      </c>
      <c r="D132" s="79" t="s">
        <v>794</v>
      </c>
      <c r="E132" s="80" t="s">
        <v>795</v>
      </c>
      <c r="F132" s="79" t="s">
        <v>796</v>
      </c>
      <c r="G132" s="79" t="s">
        <v>48</v>
      </c>
      <c r="H132" s="79"/>
    </row>
    <row r="133" customFormat="false" ht="15" hidden="false" customHeight="false" outlineLevel="0" collapsed="false">
      <c r="A133" s="79" t="n">
        <v>132</v>
      </c>
      <c r="B133" s="79" t="s">
        <v>5</v>
      </c>
      <c r="C133" s="79" t="s">
        <v>797</v>
      </c>
      <c r="D133" s="79" t="s">
        <v>798</v>
      </c>
      <c r="E133" s="80" t="s">
        <v>799</v>
      </c>
      <c r="F133" s="79" t="s">
        <v>800</v>
      </c>
      <c r="G133" s="79" t="s">
        <v>48</v>
      </c>
      <c r="H133" s="79"/>
    </row>
    <row r="134" customFormat="false" ht="15" hidden="false" customHeight="false" outlineLevel="0" collapsed="false">
      <c r="A134" s="79" t="n">
        <v>133</v>
      </c>
      <c r="B134" s="79" t="s">
        <v>5</v>
      </c>
      <c r="C134" s="79" t="s">
        <v>801</v>
      </c>
      <c r="D134" s="79" t="s">
        <v>802</v>
      </c>
      <c r="E134" s="80" t="s">
        <v>803</v>
      </c>
      <c r="F134" s="79" t="s">
        <v>804</v>
      </c>
      <c r="G134" s="79" t="s">
        <v>48</v>
      </c>
      <c r="H134" s="79"/>
    </row>
    <row r="135" customFormat="false" ht="15" hidden="false" customHeight="false" outlineLevel="0" collapsed="false">
      <c r="A135" s="79" t="n">
        <v>134</v>
      </c>
      <c r="B135" s="79" t="s">
        <v>5</v>
      </c>
      <c r="C135" s="79" t="s">
        <v>805</v>
      </c>
      <c r="D135" s="79" t="s">
        <v>806</v>
      </c>
      <c r="E135" s="80" t="s">
        <v>807</v>
      </c>
      <c r="F135" s="79" t="s">
        <v>808</v>
      </c>
      <c r="G135" s="79" t="s">
        <v>48</v>
      </c>
      <c r="H135" s="79"/>
    </row>
    <row r="136" customFormat="false" ht="15" hidden="false" customHeight="false" outlineLevel="0" collapsed="false">
      <c r="A136" s="79" t="n">
        <v>135</v>
      </c>
      <c r="B136" s="79" t="s">
        <v>5</v>
      </c>
      <c r="C136" s="79" t="s">
        <v>809</v>
      </c>
      <c r="D136" s="79" t="s">
        <v>810</v>
      </c>
      <c r="E136" s="80" t="s">
        <v>811</v>
      </c>
      <c r="F136" s="79" t="s">
        <v>812</v>
      </c>
      <c r="G136" s="79" t="s">
        <v>48</v>
      </c>
      <c r="H136" s="79"/>
    </row>
    <row r="137" customFormat="false" ht="15" hidden="false" customHeight="false" outlineLevel="0" collapsed="false">
      <c r="A137" s="79" t="n">
        <v>136</v>
      </c>
      <c r="B137" s="79" t="s">
        <v>5</v>
      </c>
      <c r="C137" s="79" t="s">
        <v>813</v>
      </c>
      <c r="D137" s="79" t="s">
        <v>814</v>
      </c>
      <c r="E137" s="80" t="s">
        <v>815</v>
      </c>
      <c r="F137" s="79" t="s">
        <v>816</v>
      </c>
      <c r="G137" s="79" t="s">
        <v>48</v>
      </c>
      <c r="H137" s="79"/>
    </row>
    <row r="138" customFormat="false" ht="15" hidden="false" customHeight="false" outlineLevel="0" collapsed="false">
      <c r="A138" s="79" t="n">
        <v>137</v>
      </c>
      <c r="B138" s="79" t="s">
        <v>5</v>
      </c>
      <c r="C138" s="79" t="s">
        <v>817</v>
      </c>
      <c r="D138" s="79" t="s">
        <v>818</v>
      </c>
      <c r="E138" s="80" t="s">
        <v>819</v>
      </c>
      <c r="F138" s="79" t="s">
        <v>820</v>
      </c>
      <c r="G138" s="79" t="s">
        <v>48</v>
      </c>
      <c r="H138" s="79"/>
    </row>
    <row r="139" customFormat="false" ht="15" hidden="false" customHeight="false" outlineLevel="0" collapsed="false">
      <c r="A139" s="79" t="n">
        <v>138</v>
      </c>
      <c r="B139" s="79" t="s">
        <v>5</v>
      </c>
      <c r="C139" s="79" t="s">
        <v>821</v>
      </c>
      <c r="D139" s="79" t="s">
        <v>822</v>
      </c>
      <c r="E139" s="80" t="s">
        <v>823</v>
      </c>
      <c r="F139" s="79" t="s">
        <v>824</v>
      </c>
      <c r="G139" s="79" t="s">
        <v>48</v>
      </c>
      <c r="H139" s="79"/>
    </row>
    <row r="140" customFormat="false" ht="15" hidden="false" customHeight="false" outlineLevel="0" collapsed="false">
      <c r="A140" s="79" t="n">
        <v>139</v>
      </c>
      <c r="B140" s="79" t="s">
        <v>5</v>
      </c>
      <c r="C140" s="79" t="s">
        <v>825</v>
      </c>
      <c r="D140" s="79" t="s">
        <v>826</v>
      </c>
      <c r="E140" s="80" t="s">
        <v>827</v>
      </c>
      <c r="F140" s="79" t="s">
        <v>828</v>
      </c>
      <c r="G140" s="79" t="s">
        <v>48</v>
      </c>
      <c r="H140" s="79"/>
    </row>
    <row r="141" customFormat="false" ht="15" hidden="false" customHeight="false" outlineLevel="0" collapsed="false">
      <c r="A141" s="79" t="n">
        <v>140</v>
      </c>
      <c r="B141" s="79" t="s">
        <v>5</v>
      </c>
      <c r="C141" s="79" t="s">
        <v>829</v>
      </c>
      <c r="D141" s="79" t="s">
        <v>830</v>
      </c>
      <c r="E141" s="80" t="s">
        <v>831</v>
      </c>
      <c r="F141" s="79" t="s">
        <v>832</v>
      </c>
      <c r="G141" s="79" t="s">
        <v>48</v>
      </c>
      <c r="H141" s="79"/>
    </row>
    <row r="142" customFormat="false" ht="15" hidden="false" customHeight="false" outlineLevel="0" collapsed="false">
      <c r="A142" s="79" t="n">
        <v>141</v>
      </c>
      <c r="B142" s="79" t="s">
        <v>5</v>
      </c>
      <c r="C142" s="79" t="s">
        <v>833</v>
      </c>
      <c r="D142" s="79" t="s">
        <v>834</v>
      </c>
      <c r="E142" s="80" t="s">
        <v>835</v>
      </c>
      <c r="F142" s="79" t="s">
        <v>836</v>
      </c>
      <c r="G142" s="79" t="s">
        <v>48</v>
      </c>
      <c r="H142" s="79"/>
    </row>
    <row r="143" customFormat="false" ht="15" hidden="false" customHeight="false" outlineLevel="0" collapsed="false">
      <c r="A143" s="79" t="n">
        <v>142</v>
      </c>
      <c r="B143" s="79" t="s">
        <v>5</v>
      </c>
      <c r="C143" s="79" t="s">
        <v>837</v>
      </c>
      <c r="D143" s="79" t="s">
        <v>838</v>
      </c>
      <c r="E143" s="80" t="s">
        <v>839</v>
      </c>
      <c r="F143" s="79" t="s">
        <v>840</v>
      </c>
      <c r="G143" s="79" t="s">
        <v>48</v>
      </c>
      <c r="H143" s="79"/>
    </row>
    <row r="144" customFormat="false" ht="15" hidden="false" customHeight="false" outlineLevel="0" collapsed="false">
      <c r="A144" s="79" t="n">
        <v>143</v>
      </c>
      <c r="B144" s="79" t="s">
        <v>5</v>
      </c>
      <c r="C144" s="79" t="s">
        <v>841</v>
      </c>
      <c r="D144" s="79" t="s">
        <v>842</v>
      </c>
      <c r="E144" s="80" t="s">
        <v>843</v>
      </c>
      <c r="F144" s="79" t="s">
        <v>844</v>
      </c>
      <c r="G144" s="79" t="s">
        <v>48</v>
      </c>
      <c r="H144" s="79" t="s">
        <v>845</v>
      </c>
    </row>
    <row r="145" customFormat="false" ht="15" hidden="false" customHeight="false" outlineLevel="0" collapsed="false">
      <c r="A145" s="79" t="n">
        <v>144</v>
      </c>
      <c r="B145" s="79" t="s">
        <v>5</v>
      </c>
      <c r="C145" s="79" t="s">
        <v>846</v>
      </c>
      <c r="D145" s="79" t="s">
        <v>847</v>
      </c>
      <c r="E145" s="80" t="s">
        <v>848</v>
      </c>
      <c r="F145" s="79" t="s">
        <v>849</v>
      </c>
      <c r="G145" s="79" t="s">
        <v>48</v>
      </c>
      <c r="H145" s="79" t="s">
        <v>845</v>
      </c>
    </row>
    <row r="146" customFormat="false" ht="15" hidden="false" customHeight="false" outlineLevel="0" collapsed="false">
      <c r="A146" s="79" t="n">
        <v>145</v>
      </c>
      <c r="B146" s="79" t="s">
        <v>5</v>
      </c>
      <c r="C146" s="79" t="s">
        <v>850</v>
      </c>
      <c r="D146" s="79" t="s">
        <v>851</v>
      </c>
      <c r="E146" s="80" t="s">
        <v>852</v>
      </c>
      <c r="F146" s="79" t="s">
        <v>853</v>
      </c>
      <c r="G146" s="79" t="s">
        <v>48</v>
      </c>
      <c r="H146" s="79"/>
    </row>
    <row r="147" customFormat="false" ht="15" hidden="false" customHeight="false" outlineLevel="0" collapsed="false">
      <c r="A147" s="79" t="n">
        <v>146</v>
      </c>
      <c r="B147" s="79" t="s">
        <v>5</v>
      </c>
      <c r="C147" s="79" t="s">
        <v>854</v>
      </c>
      <c r="D147" s="79" t="s">
        <v>855</v>
      </c>
      <c r="E147" s="80" t="s">
        <v>856</v>
      </c>
      <c r="F147" s="79" t="s">
        <v>857</v>
      </c>
      <c r="G147" s="79" t="s">
        <v>48</v>
      </c>
      <c r="H147" s="79"/>
    </row>
    <row r="148" customFormat="false" ht="15" hidden="false" customHeight="false" outlineLevel="0" collapsed="false">
      <c r="A148" s="79" t="n">
        <v>147</v>
      </c>
      <c r="B148" s="79" t="s">
        <v>5</v>
      </c>
      <c r="C148" s="79" t="s">
        <v>858</v>
      </c>
      <c r="D148" s="79" t="s">
        <v>859</v>
      </c>
      <c r="E148" s="80" t="s">
        <v>860</v>
      </c>
      <c r="F148" s="79" t="s">
        <v>398</v>
      </c>
      <c r="G148" s="79" t="s">
        <v>48</v>
      </c>
      <c r="H148" s="79"/>
    </row>
    <row r="149" customFormat="false" ht="15" hidden="false" customHeight="false" outlineLevel="0" collapsed="false">
      <c r="A149" s="79" t="n">
        <v>148</v>
      </c>
      <c r="B149" s="79" t="s">
        <v>5</v>
      </c>
      <c r="C149" s="79" t="s">
        <v>861</v>
      </c>
      <c r="D149" s="79" t="s">
        <v>862</v>
      </c>
      <c r="E149" s="80" t="s">
        <v>863</v>
      </c>
      <c r="F149" s="79" t="s">
        <v>864</v>
      </c>
      <c r="G149" s="79" t="s">
        <v>48</v>
      </c>
      <c r="H149" s="79"/>
    </row>
    <row r="150" customFormat="false" ht="15" hidden="false" customHeight="false" outlineLevel="0" collapsed="false">
      <c r="A150" s="79" t="n">
        <v>149</v>
      </c>
      <c r="B150" s="79" t="s">
        <v>5</v>
      </c>
      <c r="C150" s="79" t="s">
        <v>865</v>
      </c>
      <c r="D150" s="79" t="s">
        <v>866</v>
      </c>
      <c r="E150" s="80" t="s">
        <v>867</v>
      </c>
      <c r="F150" s="79" t="s">
        <v>868</v>
      </c>
      <c r="G150" s="79" t="s">
        <v>48</v>
      </c>
      <c r="H150" s="79" t="s">
        <v>869</v>
      </c>
    </row>
    <row r="151" customFormat="false" ht="15" hidden="false" customHeight="false" outlineLevel="0" collapsed="false">
      <c r="A151" s="79" t="n">
        <v>150</v>
      </c>
      <c r="B151" s="79" t="s">
        <v>5</v>
      </c>
      <c r="C151" s="79" t="s">
        <v>870</v>
      </c>
      <c r="D151" s="79" t="s">
        <v>871</v>
      </c>
      <c r="E151" s="80" t="s">
        <v>872</v>
      </c>
      <c r="F151" s="79" t="s">
        <v>873</v>
      </c>
      <c r="G151" s="79" t="s">
        <v>48</v>
      </c>
      <c r="H151" s="79"/>
    </row>
    <row r="152" customFormat="false" ht="15" hidden="false" customHeight="false" outlineLevel="0" collapsed="false">
      <c r="A152" s="79" t="n">
        <v>151</v>
      </c>
      <c r="B152" s="79" t="s">
        <v>5</v>
      </c>
      <c r="C152" s="79" t="s">
        <v>874</v>
      </c>
      <c r="D152" s="79" t="s">
        <v>875</v>
      </c>
      <c r="E152" s="80" t="s">
        <v>876</v>
      </c>
      <c r="F152" s="79" t="s">
        <v>877</v>
      </c>
      <c r="G152" s="79" t="s">
        <v>48</v>
      </c>
      <c r="H152" s="79"/>
    </row>
    <row r="153" customFormat="false" ht="15" hidden="false" customHeight="false" outlineLevel="0" collapsed="false">
      <c r="A153" s="79" t="n">
        <v>152</v>
      </c>
      <c r="B153" s="79" t="s">
        <v>5</v>
      </c>
      <c r="C153" s="79" t="s">
        <v>878</v>
      </c>
      <c r="D153" s="79" t="s">
        <v>879</v>
      </c>
      <c r="E153" s="80" t="s">
        <v>880</v>
      </c>
      <c r="F153" s="79" t="s">
        <v>881</v>
      </c>
      <c r="G153" s="79" t="s">
        <v>48</v>
      </c>
      <c r="H153" s="79"/>
    </row>
    <row r="154" customFormat="false" ht="15" hidden="false" customHeight="false" outlineLevel="0" collapsed="false">
      <c r="A154" s="79" t="n">
        <v>153</v>
      </c>
      <c r="B154" s="79" t="s">
        <v>5</v>
      </c>
      <c r="C154" s="79" t="s">
        <v>882</v>
      </c>
      <c r="D154" s="79" t="s">
        <v>883</v>
      </c>
      <c r="E154" s="80" t="s">
        <v>884</v>
      </c>
      <c r="F154" s="79" t="s">
        <v>885</v>
      </c>
      <c r="G154" s="79" t="s">
        <v>48</v>
      </c>
      <c r="H154" s="79"/>
    </row>
    <row r="155" customFormat="false" ht="15" hidden="false" customHeight="false" outlineLevel="0" collapsed="false">
      <c r="A155" s="79" t="n">
        <v>154</v>
      </c>
      <c r="B155" s="79" t="s">
        <v>5</v>
      </c>
      <c r="C155" s="79" t="s">
        <v>886</v>
      </c>
      <c r="D155" s="79" t="s">
        <v>887</v>
      </c>
      <c r="E155" s="80" t="s">
        <v>888</v>
      </c>
      <c r="F155" s="79" t="s">
        <v>889</v>
      </c>
      <c r="G155" s="79" t="s">
        <v>48</v>
      </c>
      <c r="H155" s="79"/>
    </row>
    <row r="156" customFormat="false" ht="15" hidden="false" customHeight="false" outlineLevel="0" collapsed="false">
      <c r="A156" s="79" t="n">
        <v>155</v>
      </c>
      <c r="B156" s="79" t="s">
        <v>5</v>
      </c>
      <c r="C156" s="79" t="s">
        <v>890</v>
      </c>
      <c r="D156" s="79" t="s">
        <v>891</v>
      </c>
      <c r="E156" s="80" t="s">
        <v>892</v>
      </c>
      <c r="F156" s="79" t="s">
        <v>893</v>
      </c>
      <c r="G156" s="79" t="s">
        <v>48</v>
      </c>
      <c r="H156" s="79"/>
    </row>
    <row r="157" customFormat="false" ht="15" hidden="false" customHeight="false" outlineLevel="0" collapsed="false">
      <c r="A157" s="79" t="n">
        <v>156</v>
      </c>
      <c r="B157" s="79" t="s">
        <v>5</v>
      </c>
      <c r="C157" s="79" t="s">
        <v>894</v>
      </c>
      <c r="D157" s="79" t="s">
        <v>895</v>
      </c>
      <c r="E157" s="80" t="s">
        <v>896</v>
      </c>
      <c r="F157" s="79" t="s">
        <v>897</v>
      </c>
      <c r="G157" s="79" t="s">
        <v>48</v>
      </c>
      <c r="H157" s="79"/>
    </row>
    <row r="158" customFormat="false" ht="15" hidden="false" customHeight="false" outlineLevel="0" collapsed="false">
      <c r="A158" s="79" t="n">
        <v>157</v>
      </c>
      <c r="B158" s="79" t="s">
        <v>5</v>
      </c>
      <c r="C158" s="79" t="s">
        <v>898</v>
      </c>
      <c r="D158" s="79" t="s">
        <v>899</v>
      </c>
      <c r="E158" s="80" t="s">
        <v>900</v>
      </c>
      <c r="F158" s="79" t="s">
        <v>901</v>
      </c>
      <c r="G158" s="79" t="s">
        <v>48</v>
      </c>
      <c r="H158" s="79"/>
    </row>
    <row r="159" customFormat="false" ht="15" hidden="false" customHeight="false" outlineLevel="0" collapsed="false">
      <c r="A159" s="79" t="n">
        <v>158</v>
      </c>
      <c r="B159" s="79" t="s">
        <v>5</v>
      </c>
      <c r="C159" s="79" t="s">
        <v>902</v>
      </c>
      <c r="D159" s="79" t="s">
        <v>903</v>
      </c>
      <c r="E159" s="80" t="s">
        <v>904</v>
      </c>
      <c r="F159" s="79" t="s">
        <v>905</v>
      </c>
      <c r="G159" s="79" t="s">
        <v>48</v>
      </c>
      <c r="H159" s="79"/>
    </row>
    <row r="160" customFormat="false" ht="15" hidden="false" customHeight="false" outlineLevel="0" collapsed="false">
      <c r="A160" s="79" t="n">
        <v>159</v>
      </c>
      <c r="B160" s="79" t="s">
        <v>5</v>
      </c>
      <c r="C160" s="79" t="s">
        <v>906</v>
      </c>
      <c r="D160" s="79" t="s">
        <v>907</v>
      </c>
      <c r="E160" s="80" t="s">
        <v>908</v>
      </c>
      <c r="F160" s="79" t="s">
        <v>909</v>
      </c>
      <c r="G160" s="79" t="s">
        <v>48</v>
      </c>
      <c r="H160" s="79"/>
    </row>
    <row r="161" customFormat="false" ht="15" hidden="false" customHeight="false" outlineLevel="0" collapsed="false">
      <c r="A161" s="79" t="n">
        <v>160</v>
      </c>
      <c r="B161" s="79" t="s">
        <v>5</v>
      </c>
      <c r="C161" s="79" t="s">
        <v>910</v>
      </c>
      <c r="D161" s="79" t="s">
        <v>911</v>
      </c>
      <c r="E161" s="80" t="s">
        <v>912</v>
      </c>
      <c r="F161" s="79" t="s">
        <v>913</v>
      </c>
      <c r="G161" s="79" t="s">
        <v>48</v>
      </c>
      <c r="H161" s="79"/>
    </row>
    <row r="162" customFormat="false" ht="15" hidden="false" customHeight="false" outlineLevel="0" collapsed="false">
      <c r="A162" s="79" t="n">
        <v>161</v>
      </c>
      <c r="B162" s="79" t="s">
        <v>5</v>
      </c>
      <c r="C162" s="79" t="s">
        <v>914</v>
      </c>
      <c r="D162" s="79" t="s">
        <v>915</v>
      </c>
      <c r="E162" s="80" t="s">
        <v>916</v>
      </c>
      <c r="F162" s="79" t="s">
        <v>917</v>
      </c>
      <c r="G162" s="79" t="s">
        <v>48</v>
      </c>
      <c r="H162" s="79"/>
    </row>
    <row r="163" customFormat="false" ht="15" hidden="false" customHeight="false" outlineLevel="0" collapsed="false">
      <c r="A163" s="79" t="n">
        <v>162</v>
      </c>
      <c r="B163" s="79" t="s">
        <v>5</v>
      </c>
      <c r="C163" s="79" t="s">
        <v>918</v>
      </c>
      <c r="D163" s="79" t="s">
        <v>919</v>
      </c>
      <c r="E163" s="80" t="s">
        <v>920</v>
      </c>
      <c r="F163" s="79" t="s">
        <v>921</v>
      </c>
      <c r="G163" s="79" t="s">
        <v>48</v>
      </c>
      <c r="H163" s="79"/>
    </row>
    <row r="164" customFormat="false" ht="15" hidden="false" customHeight="false" outlineLevel="0" collapsed="false">
      <c r="A164" s="79" t="n">
        <v>163</v>
      </c>
      <c r="B164" s="79" t="s">
        <v>5</v>
      </c>
      <c r="C164" s="79" t="s">
        <v>922</v>
      </c>
      <c r="D164" s="79" t="s">
        <v>923</v>
      </c>
      <c r="E164" s="80" t="s">
        <v>924</v>
      </c>
      <c r="F164" s="79" t="s">
        <v>925</v>
      </c>
      <c r="G164" s="79" t="s">
        <v>48</v>
      </c>
      <c r="H164" s="79" t="s">
        <v>845</v>
      </c>
    </row>
    <row r="165" customFormat="false" ht="15" hidden="false" customHeight="false" outlineLevel="0" collapsed="false">
      <c r="A165" s="79" t="n">
        <v>164</v>
      </c>
      <c r="B165" s="79" t="s">
        <v>5</v>
      </c>
      <c r="C165" s="79" t="s">
        <v>926</v>
      </c>
      <c r="D165" s="79" t="s">
        <v>927</v>
      </c>
      <c r="E165" s="80" t="s">
        <v>928</v>
      </c>
      <c r="F165" s="79" t="s">
        <v>929</v>
      </c>
      <c r="G165" s="79" t="s">
        <v>48</v>
      </c>
      <c r="H165" s="79" t="s">
        <v>930</v>
      </c>
    </row>
    <row r="166" customFormat="false" ht="15" hidden="false" customHeight="false" outlineLevel="0" collapsed="false">
      <c r="A166" s="79" t="n">
        <v>165</v>
      </c>
      <c r="B166" s="79" t="s">
        <v>5</v>
      </c>
      <c r="C166" s="79" t="s">
        <v>931</v>
      </c>
      <c r="D166" s="79" t="s">
        <v>932</v>
      </c>
      <c r="E166" s="80" t="s">
        <v>933</v>
      </c>
      <c r="F166" s="79" t="s">
        <v>934</v>
      </c>
      <c r="G166" s="79" t="s">
        <v>48</v>
      </c>
      <c r="H166" s="79"/>
    </row>
    <row r="167" customFormat="false" ht="15" hidden="false" customHeight="false" outlineLevel="0" collapsed="false">
      <c r="A167" s="79" t="n">
        <v>166</v>
      </c>
      <c r="B167" s="79" t="s">
        <v>5</v>
      </c>
      <c r="C167" s="79" t="s">
        <v>935</v>
      </c>
      <c r="D167" s="79" t="s">
        <v>936</v>
      </c>
      <c r="E167" s="80" t="s">
        <v>937</v>
      </c>
      <c r="F167" s="79" t="s">
        <v>938</v>
      </c>
      <c r="G167" s="79" t="s">
        <v>48</v>
      </c>
      <c r="H167" s="79"/>
    </row>
    <row r="168" customFormat="false" ht="15" hidden="false" customHeight="false" outlineLevel="0" collapsed="false">
      <c r="A168" s="79" t="n">
        <v>167</v>
      </c>
      <c r="B168" s="79" t="s">
        <v>5</v>
      </c>
      <c r="C168" s="79" t="s">
        <v>939</v>
      </c>
      <c r="D168" s="79" t="s">
        <v>940</v>
      </c>
      <c r="E168" s="80" t="s">
        <v>941</v>
      </c>
      <c r="F168" s="79" t="s">
        <v>942</v>
      </c>
      <c r="G168" s="79" t="s">
        <v>48</v>
      </c>
      <c r="H168" s="79"/>
    </row>
    <row r="169" customFormat="false" ht="15" hidden="false" customHeight="false" outlineLevel="0" collapsed="false">
      <c r="A169" s="79" t="n">
        <v>168</v>
      </c>
      <c r="B169" s="79" t="s">
        <v>5</v>
      </c>
      <c r="C169" s="79" t="s">
        <v>943</v>
      </c>
      <c r="D169" s="79" t="s">
        <v>944</v>
      </c>
      <c r="E169" s="80" t="s">
        <v>945</v>
      </c>
      <c r="F169" s="79" t="s">
        <v>946</v>
      </c>
      <c r="G169" s="79" t="s">
        <v>48</v>
      </c>
      <c r="H169" s="79"/>
    </row>
    <row r="170" customFormat="false" ht="15" hidden="false" customHeight="false" outlineLevel="0" collapsed="false">
      <c r="A170" s="79" t="n">
        <v>169</v>
      </c>
      <c r="B170" s="79" t="s">
        <v>5</v>
      </c>
      <c r="C170" s="79" t="s">
        <v>947</v>
      </c>
      <c r="D170" s="79" t="s">
        <v>948</v>
      </c>
      <c r="E170" s="80" t="s">
        <v>949</v>
      </c>
      <c r="F170" s="79" t="s">
        <v>950</v>
      </c>
      <c r="G170" s="79" t="s">
        <v>48</v>
      </c>
      <c r="H170" s="79"/>
    </row>
    <row r="171" customFormat="false" ht="15" hidden="false" customHeight="false" outlineLevel="0" collapsed="false">
      <c r="A171" s="79" t="n">
        <v>170</v>
      </c>
      <c r="B171" s="79" t="s">
        <v>5</v>
      </c>
      <c r="C171" s="79" t="s">
        <v>951</v>
      </c>
      <c r="D171" s="79" t="s">
        <v>952</v>
      </c>
      <c r="E171" s="80" t="s">
        <v>953</v>
      </c>
      <c r="F171" s="79" t="s">
        <v>954</v>
      </c>
      <c r="G171" s="79" t="s">
        <v>48</v>
      </c>
      <c r="H171" s="79"/>
    </row>
    <row r="172" customFormat="false" ht="15" hidden="false" customHeight="false" outlineLevel="0" collapsed="false">
      <c r="A172" s="79" t="n">
        <v>171</v>
      </c>
      <c r="B172" s="79" t="s">
        <v>5</v>
      </c>
      <c r="C172" s="79" t="s">
        <v>955</v>
      </c>
      <c r="D172" s="79" t="s">
        <v>956</v>
      </c>
      <c r="E172" s="80" t="s">
        <v>957</v>
      </c>
      <c r="F172" s="79" t="s">
        <v>958</v>
      </c>
      <c r="G172" s="79" t="s">
        <v>48</v>
      </c>
      <c r="H172" s="79"/>
    </row>
    <row r="173" customFormat="false" ht="15" hidden="false" customHeight="false" outlineLevel="0" collapsed="false">
      <c r="A173" s="79" t="n">
        <v>172</v>
      </c>
      <c r="B173" s="79" t="s">
        <v>5</v>
      </c>
      <c r="C173" s="79" t="s">
        <v>959</v>
      </c>
      <c r="D173" s="79" t="s">
        <v>960</v>
      </c>
      <c r="E173" s="80" t="s">
        <v>961</v>
      </c>
      <c r="F173" s="79" t="s">
        <v>962</v>
      </c>
      <c r="G173" s="79" t="s">
        <v>48</v>
      </c>
      <c r="H173" s="79"/>
    </row>
    <row r="174" customFormat="false" ht="15" hidden="false" customHeight="false" outlineLevel="0" collapsed="false">
      <c r="A174" s="79" t="n">
        <v>173</v>
      </c>
      <c r="B174" s="79" t="s">
        <v>5</v>
      </c>
      <c r="C174" s="79" t="s">
        <v>963</v>
      </c>
      <c r="D174" s="79" t="s">
        <v>964</v>
      </c>
      <c r="E174" s="80" t="s">
        <v>965</v>
      </c>
      <c r="F174" s="79" t="s">
        <v>966</v>
      </c>
      <c r="G174" s="79" t="s">
        <v>48</v>
      </c>
      <c r="H174" s="79"/>
    </row>
    <row r="175" customFormat="false" ht="15" hidden="false" customHeight="false" outlineLevel="0" collapsed="false">
      <c r="A175" s="79" t="n">
        <v>174</v>
      </c>
      <c r="B175" s="79" t="s">
        <v>5</v>
      </c>
      <c r="C175" s="79" t="s">
        <v>967</v>
      </c>
      <c r="D175" s="79" t="s">
        <v>968</v>
      </c>
      <c r="E175" s="80" t="s">
        <v>969</v>
      </c>
      <c r="F175" s="79" t="s">
        <v>970</v>
      </c>
      <c r="G175" s="79" t="s">
        <v>50</v>
      </c>
      <c r="H175" s="79"/>
    </row>
    <row r="176" customFormat="false" ht="15" hidden="false" customHeight="false" outlineLevel="0" collapsed="false">
      <c r="A176" s="79" t="n">
        <v>175</v>
      </c>
      <c r="B176" s="79" t="s">
        <v>5</v>
      </c>
      <c r="C176" s="79" t="s">
        <v>971</v>
      </c>
      <c r="D176" s="79" t="s">
        <v>972</v>
      </c>
      <c r="E176" s="80" t="s">
        <v>973</v>
      </c>
      <c r="F176" s="79" t="s">
        <v>974</v>
      </c>
      <c r="G176" s="79" t="s">
        <v>50</v>
      </c>
      <c r="H176" s="79"/>
    </row>
    <row r="177" customFormat="false" ht="15" hidden="false" customHeight="false" outlineLevel="0" collapsed="false">
      <c r="A177" s="79" t="n">
        <v>176</v>
      </c>
      <c r="B177" s="79" t="s">
        <v>5</v>
      </c>
      <c r="C177" s="79" t="s">
        <v>975</v>
      </c>
      <c r="D177" s="79" t="s">
        <v>976</v>
      </c>
      <c r="E177" s="80" t="s">
        <v>977</v>
      </c>
      <c r="F177" s="79" t="s">
        <v>978</v>
      </c>
      <c r="G177" s="79" t="s">
        <v>50</v>
      </c>
      <c r="H177" s="79"/>
    </row>
    <row r="178" customFormat="false" ht="15" hidden="false" customHeight="false" outlineLevel="0" collapsed="false">
      <c r="A178" s="79" t="n">
        <v>177</v>
      </c>
      <c r="B178" s="79" t="s">
        <v>5</v>
      </c>
      <c r="C178" s="79" t="s">
        <v>979</v>
      </c>
      <c r="D178" s="79" t="s">
        <v>980</v>
      </c>
      <c r="E178" s="80" t="s">
        <v>981</v>
      </c>
      <c r="F178" s="79" t="s">
        <v>816</v>
      </c>
      <c r="G178" s="79" t="s">
        <v>50</v>
      </c>
      <c r="H178" s="79" t="s">
        <v>982</v>
      </c>
    </row>
    <row r="179" customFormat="false" ht="15" hidden="false" customHeight="false" outlineLevel="0" collapsed="false">
      <c r="A179" s="79" t="n">
        <v>178</v>
      </c>
      <c r="B179" s="79" t="s">
        <v>5</v>
      </c>
      <c r="C179" s="79" t="s">
        <v>983</v>
      </c>
      <c r="D179" s="79" t="s">
        <v>984</v>
      </c>
      <c r="E179" s="80" t="s">
        <v>985</v>
      </c>
      <c r="F179" s="79" t="s">
        <v>938</v>
      </c>
      <c r="G179" s="79" t="s">
        <v>50</v>
      </c>
      <c r="H179" s="79"/>
    </row>
    <row r="180" customFormat="false" ht="15" hidden="false" customHeight="false" outlineLevel="0" collapsed="false">
      <c r="A180" s="79" t="n">
        <v>179</v>
      </c>
      <c r="B180" s="79" t="s">
        <v>5</v>
      </c>
      <c r="C180" s="79" t="s">
        <v>986</v>
      </c>
      <c r="D180" s="79" t="s">
        <v>987</v>
      </c>
      <c r="E180" s="80" t="s">
        <v>988</v>
      </c>
      <c r="F180" s="79" t="s">
        <v>989</v>
      </c>
      <c r="G180" s="79" t="s">
        <v>50</v>
      </c>
      <c r="H180" s="79" t="s">
        <v>990</v>
      </c>
    </row>
    <row r="181" customFormat="false" ht="15" hidden="false" customHeight="false" outlineLevel="0" collapsed="false">
      <c r="A181" s="79" t="n">
        <v>180</v>
      </c>
      <c r="B181" s="79" t="s">
        <v>5</v>
      </c>
      <c r="C181" s="79" t="s">
        <v>991</v>
      </c>
      <c r="D181" s="79" t="s">
        <v>992</v>
      </c>
      <c r="E181" s="80" t="s">
        <v>993</v>
      </c>
      <c r="F181" s="79" t="s">
        <v>994</v>
      </c>
      <c r="G181" s="79" t="s">
        <v>50</v>
      </c>
      <c r="H181" s="79"/>
    </row>
    <row r="182" customFormat="false" ht="15" hidden="false" customHeight="false" outlineLevel="0" collapsed="false">
      <c r="A182" s="79" t="n">
        <v>181</v>
      </c>
      <c r="B182" s="79" t="s">
        <v>5</v>
      </c>
      <c r="C182" s="79" t="s">
        <v>995</v>
      </c>
      <c r="D182" s="79" t="s">
        <v>996</v>
      </c>
      <c r="E182" s="80" t="s">
        <v>997</v>
      </c>
      <c r="F182" s="79" t="s">
        <v>998</v>
      </c>
      <c r="G182" s="79" t="s">
        <v>50</v>
      </c>
      <c r="H182" s="79"/>
    </row>
    <row r="183" customFormat="false" ht="15" hidden="false" customHeight="false" outlineLevel="0" collapsed="false">
      <c r="A183" s="79" t="n">
        <v>182</v>
      </c>
      <c r="B183" s="79" t="s">
        <v>5</v>
      </c>
      <c r="C183" s="79" t="s">
        <v>999</v>
      </c>
      <c r="D183" s="79" t="s">
        <v>1000</v>
      </c>
      <c r="E183" s="80" t="s">
        <v>1001</v>
      </c>
      <c r="F183" s="79" t="s">
        <v>1002</v>
      </c>
      <c r="G183" s="79" t="s">
        <v>50</v>
      </c>
      <c r="H183" s="79"/>
    </row>
    <row r="184" customFormat="false" ht="15" hidden="false" customHeight="false" outlineLevel="0" collapsed="false">
      <c r="A184" s="79" t="n">
        <v>183</v>
      </c>
      <c r="B184" s="79" t="s">
        <v>5</v>
      </c>
      <c r="C184" s="79" t="s">
        <v>1003</v>
      </c>
      <c r="D184" s="79" t="s">
        <v>1004</v>
      </c>
      <c r="E184" s="80" t="s">
        <v>1005</v>
      </c>
      <c r="F184" s="79" t="s">
        <v>1006</v>
      </c>
      <c r="G184" s="79" t="s">
        <v>50</v>
      </c>
      <c r="H184" s="79"/>
    </row>
    <row r="185" customFormat="false" ht="15" hidden="false" customHeight="false" outlineLevel="0" collapsed="false">
      <c r="A185" s="79" t="n">
        <v>184</v>
      </c>
      <c r="B185" s="79" t="s">
        <v>5</v>
      </c>
      <c r="C185" s="79" t="s">
        <v>1007</v>
      </c>
      <c r="D185" s="79" t="s">
        <v>1008</v>
      </c>
      <c r="E185" s="80" t="s">
        <v>1009</v>
      </c>
      <c r="F185" s="79" t="s">
        <v>419</v>
      </c>
      <c r="G185" s="79" t="s">
        <v>50</v>
      </c>
      <c r="H185" s="79"/>
    </row>
    <row r="186" customFormat="false" ht="15" hidden="false" customHeight="false" outlineLevel="0" collapsed="false">
      <c r="A186" s="79" t="n">
        <v>185</v>
      </c>
      <c r="B186" s="79" t="s">
        <v>5</v>
      </c>
      <c r="C186" s="79" t="s">
        <v>1010</v>
      </c>
      <c r="D186" s="79" t="s">
        <v>1011</v>
      </c>
      <c r="E186" s="80" t="s">
        <v>1012</v>
      </c>
      <c r="F186" s="79" t="s">
        <v>1013</v>
      </c>
      <c r="G186" s="79" t="s">
        <v>50</v>
      </c>
      <c r="H186" s="79"/>
    </row>
    <row r="187" customFormat="false" ht="15" hidden="false" customHeight="false" outlineLevel="0" collapsed="false">
      <c r="A187" s="79" t="n">
        <v>186</v>
      </c>
      <c r="B187" s="79" t="s">
        <v>5</v>
      </c>
      <c r="C187" s="79" t="s">
        <v>1014</v>
      </c>
      <c r="D187" s="79" t="s">
        <v>1015</v>
      </c>
      <c r="E187" s="80" t="s">
        <v>1016</v>
      </c>
      <c r="F187" s="79" t="s">
        <v>1017</v>
      </c>
      <c r="G187" s="79" t="s">
        <v>50</v>
      </c>
      <c r="H187" s="79"/>
    </row>
    <row r="188" customFormat="false" ht="15" hidden="false" customHeight="false" outlineLevel="0" collapsed="false">
      <c r="A188" s="79" t="n">
        <v>187</v>
      </c>
      <c r="B188" s="79" t="s">
        <v>5</v>
      </c>
      <c r="C188" s="79" t="s">
        <v>1018</v>
      </c>
      <c r="D188" s="79" t="s">
        <v>1019</v>
      </c>
      <c r="E188" s="80" t="s">
        <v>1020</v>
      </c>
      <c r="F188" s="79" t="s">
        <v>1021</v>
      </c>
      <c r="G188" s="79" t="s">
        <v>50</v>
      </c>
      <c r="H188" s="79"/>
    </row>
    <row r="189" customFormat="false" ht="15" hidden="false" customHeight="false" outlineLevel="0" collapsed="false">
      <c r="A189" s="79" t="n">
        <v>188</v>
      </c>
      <c r="B189" s="79" t="s">
        <v>5</v>
      </c>
      <c r="C189" s="79" t="s">
        <v>1022</v>
      </c>
      <c r="D189" s="79" t="s">
        <v>1023</v>
      </c>
      <c r="E189" s="80" t="s">
        <v>1024</v>
      </c>
      <c r="F189" s="79" t="s">
        <v>1025</v>
      </c>
      <c r="G189" s="79" t="s">
        <v>50</v>
      </c>
      <c r="H189" s="79"/>
    </row>
    <row r="190" customFormat="false" ht="15" hidden="false" customHeight="false" outlineLevel="0" collapsed="false">
      <c r="A190" s="79" t="n">
        <v>189</v>
      </c>
      <c r="B190" s="79" t="s">
        <v>5</v>
      </c>
      <c r="C190" s="79" t="s">
        <v>1026</v>
      </c>
      <c r="D190" s="79" t="s">
        <v>1027</v>
      </c>
      <c r="E190" s="80" t="s">
        <v>1028</v>
      </c>
      <c r="F190" s="79" t="s">
        <v>1029</v>
      </c>
      <c r="G190" s="79" t="s">
        <v>50</v>
      </c>
      <c r="H190" s="79"/>
    </row>
    <row r="191" customFormat="false" ht="15" hidden="false" customHeight="false" outlineLevel="0" collapsed="false">
      <c r="A191" s="79" t="n">
        <v>190</v>
      </c>
      <c r="B191" s="79" t="s">
        <v>5</v>
      </c>
      <c r="C191" s="79" t="s">
        <v>1030</v>
      </c>
      <c r="D191" s="79" t="s">
        <v>1031</v>
      </c>
      <c r="E191" s="80" t="s">
        <v>1032</v>
      </c>
      <c r="F191" s="79" t="s">
        <v>938</v>
      </c>
      <c r="G191" s="79" t="s">
        <v>50</v>
      </c>
      <c r="H191" s="79"/>
    </row>
    <row r="192" customFormat="false" ht="15" hidden="false" customHeight="false" outlineLevel="0" collapsed="false">
      <c r="A192" s="79" t="n">
        <v>191</v>
      </c>
      <c r="B192" s="79" t="s">
        <v>5</v>
      </c>
      <c r="C192" s="79" t="s">
        <v>1033</v>
      </c>
      <c r="D192" s="79" t="s">
        <v>1034</v>
      </c>
      <c r="E192" s="80" t="s">
        <v>1035</v>
      </c>
      <c r="F192" s="79" t="s">
        <v>1036</v>
      </c>
      <c r="G192" s="79" t="s">
        <v>50</v>
      </c>
      <c r="H192" s="79"/>
    </row>
    <row r="193" customFormat="false" ht="15" hidden="false" customHeight="false" outlineLevel="0" collapsed="false">
      <c r="A193" s="79" t="n">
        <v>192</v>
      </c>
      <c r="B193" s="79" t="s">
        <v>5</v>
      </c>
      <c r="C193" s="79" t="s">
        <v>1037</v>
      </c>
      <c r="D193" s="79" t="s">
        <v>1038</v>
      </c>
      <c r="E193" s="80" t="s">
        <v>1039</v>
      </c>
      <c r="F193" s="79" t="s">
        <v>1040</v>
      </c>
      <c r="G193" s="79" t="s">
        <v>50</v>
      </c>
      <c r="H193" s="79"/>
    </row>
    <row r="194" customFormat="false" ht="15" hidden="false" customHeight="false" outlineLevel="0" collapsed="false">
      <c r="A194" s="79" t="n">
        <v>193</v>
      </c>
      <c r="B194" s="79" t="s">
        <v>5</v>
      </c>
      <c r="C194" s="79" t="s">
        <v>1041</v>
      </c>
      <c r="D194" s="79" t="s">
        <v>1042</v>
      </c>
      <c r="E194" s="80" t="s">
        <v>1043</v>
      </c>
      <c r="F194" s="79" t="s">
        <v>282</v>
      </c>
      <c r="G194" s="79" t="s">
        <v>50</v>
      </c>
      <c r="H194" s="79"/>
    </row>
    <row r="195" customFormat="false" ht="15" hidden="false" customHeight="false" outlineLevel="0" collapsed="false">
      <c r="A195" s="79" t="n">
        <v>194</v>
      </c>
      <c r="B195" s="79" t="s">
        <v>5</v>
      </c>
      <c r="C195" s="79" t="s">
        <v>1044</v>
      </c>
      <c r="D195" s="79" t="s">
        <v>1045</v>
      </c>
      <c r="E195" s="80" t="s">
        <v>1046</v>
      </c>
      <c r="F195" s="79" t="s">
        <v>1047</v>
      </c>
      <c r="G195" s="79" t="s">
        <v>50</v>
      </c>
      <c r="H195" s="79"/>
    </row>
    <row r="196" customFormat="false" ht="15" hidden="false" customHeight="false" outlineLevel="0" collapsed="false">
      <c r="A196" s="79" t="n">
        <v>195</v>
      </c>
      <c r="B196" s="79" t="s">
        <v>5</v>
      </c>
      <c r="C196" s="79" t="s">
        <v>1048</v>
      </c>
      <c r="D196" s="79" t="s">
        <v>1049</v>
      </c>
      <c r="E196" s="80" t="s">
        <v>1050</v>
      </c>
      <c r="F196" s="79" t="s">
        <v>1051</v>
      </c>
      <c r="G196" s="79" t="s">
        <v>50</v>
      </c>
      <c r="H196" s="79"/>
    </row>
    <row r="197" customFormat="false" ht="15" hidden="false" customHeight="false" outlineLevel="0" collapsed="false">
      <c r="A197" s="79" t="n">
        <v>196</v>
      </c>
      <c r="B197" s="79" t="s">
        <v>5</v>
      </c>
      <c r="C197" s="79" t="s">
        <v>1052</v>
      </c>
      <c r="D197" s="79" t="s">
        <v>1053</v>
      </c>
      <c r="E197" s="80" t="s">
        <v>1054</v>
      </c>
      <c r="F197" s="79" t="s">
        <v>1055</v>
      </c>
      <c r="G197" s="79" t="s">
        <v>50</v>
      </c>
      <c r="H197" s="79" t="s">
        <v>845</v>
      </c>
    </row>
    <row r="198" customFormat="false" ht="15" hidden="false" customHeight="false" outlineLevel="0" collapsed="false">
      <c r="A198" s="79" t="n">
        <v>197</v>
      </c>
      <c r="B198" s="79" t="s">
        <v>5</v>
      </c>
      <c r="C198" s="79" t="s">
        <v>1056</v>
      </c>
      <c r="D198" s="79" t="s">
        <v>1057</v>
      </c>
      <c r="E198" s="80" t="s">
        <v>1058</v>
      </c>
      <c r="F198" s="79" t="s">
        <v>1059</v>
      </c>
      <c r="G198" s="79" t="s">
        <v>50</v>
      </c>
      <c r="H198" s="79"/>
    </row>
    <row r="199" customFormat="false" ht="15" hidden="false" customHeight="false" outlineLevel="0" collapsed="false">
      <c r="A199" s="79" t="n">
        <v>198</v>
      </c>
      <c r="B199" s="79" t="s">
        <v>5</v>
      </c>
      <c r="C199" s="79" t="s">
        <v>1060</v>
      </c>
      <c r="D199" s="79" t="s">
        <v>1061</v>
      </c>
      <c r="E199" s="80" t="s">
        <v>1062</v>
      </c>
      <c r="F199" s="79" t="s">
        <v>1063</v>
      </c>
      <c r="G199" s="79" t="s">
        <v>50</v>
      </c>
      <c r="H199" s="79"/>
    </row>
    <row r="200" customFormat="false" ht="15" hidden="false" customHeight="false" outlineLevel="0" collapsed="false">
      <c r="A200" s="79" t="n">
        <v>199</v>
      </c>
      <c r="B200" s="79" t="s">
        <v>5</v>
      </c>
      <c r="C200" s="79" t="s">
        <v>1064</v>
      </c>
      <c r="D200" s="79" t="s">
        <v>1065</v>
      </c>
      <c r="E200" s="80" t="s">
        <v>1066</v>
      </c>
      <c r="F200" s="79" t="s">
        <v>1067</v>
      </c>
      <c r="G200" s="79" t="s">
        <v>50</v>
      </c>
      <c r="H200" s="79"/>
    </row>
    <row r="201" customFormat="false" ht="15" hidden="false" customHeight="false" outlineLevel="0" collapsed="false">
      <c r="A201" s="79" t="n">
        <v>200</v>
      </c>
      <c r="B201" s="79" t="s">
        <v>5</v>
      </c>
      <c r="C201" s="79" t="s">
        <v>1068</v>
      </c>
      <c r="D201" s="79" t="s">
        <v>1069</v>
      </c>
      <c r="E201" s="80" t="s">
        <v>656</v>
      </c>
      <c r="F201" s="79" t="s">
        <v>657</v>
      </c>
      <c r="G201" s="79" t="s">
        <v>50</v>
      </c>
      <c r="H201" s="79"/>
    </row>
    <row r="202" customFormat="false" ht="15" hidden="false" customHeight="false" outlineLevel="0" collapsed="false">
      <c r="A202" s="79" t="n">
        <v>201</v>
      </c>
      <c r="B202" s="79" t="s">
        <v>5</v>
      </c>
      <c r="C202" s="79" t="s">
        <v>1070</v>
      </c>
      <c r="D202" s="79" t="s">
        <v>1071</v>
      </c>
      <c r="E202" s="80" t="s">
        <v>1072</v>
      </c>
      <c r="F202" s="79" t="s">
        <v>1073</v>
      </c>
      <c r="G202" s="79" t="s">
        <v>50</v>
      </c>
      <c r="H202" s="79" t="s">
        <v>845</v>
      </c>
    </row>
    <row r="203" customFormat="false" ht="15" hidden="false" customHeight="false" outlineLevel="0" collapsed="false">
      <c r="A203" s="79" t="n">
        <v>202</v>
      </c>
      <c r="B203" s="79" t="s">
        <v>5</v>
      </c>
      <c r="C203" s="79" t="s">
        <v>658</v>
      </c>
      <c r="D203" s="79" t="s">
        <v>659</v>
      </c>
      <c r="E203" s="80" t="s">
        <v>660</v>
      </c>
      <c r="F203" s="79" t="s">
        <v>661</v>
      </c>
      <c r="G203" s="79" t="s">
        <v>50</v>
      </c>
      <c r="H203" s="79"/>
    </row>
    <row r="204" customFormat="false" ht="15" hidden="false" customHeight="false" outlineLevel="0" collapsed="false">
      <c r="A204" s="79" t="n">
        <v>203</v>
      </c>
      <c r="B204" s="79" t="s">
        <v>5</v>
      </c>
      <c r="C204" s="79" t="s">
        <v>1074</v>
      </c>
      <c r="D204" s="79" t="s">
        <v>1075</v>
      </c>
      <c r="E204" s="80" t="s">
        <v>1076</v>
      </c>
      <c r="F204" s="79" t="s">
        <v>1077</v>
      </c>
      <c r="G204" s="79" t="s">
        <v>50</v>
      </c>
      <c r="H204" s="79"/>
    </row>
    <row r="205" customFormat="false" ht="15" hidden="false" customHeight="false" outlineLevel="0" collapsed="false">
      <c r="A205" s="79" t="n">
        <v>204</v>
      </c>
      <c r="B205" s="79" t="s">
        <v>5</v>
      </c>
      <c r="C205" s="79" t="s">
        <v>1078</v>
      </c>
      <c r="D205" s="79" t="s">
        <v>1079</v>
      </c>
      <c r="E205" s="80" t="s">
        <v>1080</v>
      </c>
      <c r="F205" s="79" t="s">
        <v>1081</v>
      </c>
      <c r="G205" s="79" t="s">
        <v>50</v>
      </c>
      <c r="H205" s="79"/>
    </row>
    <row r="206" customFormat="false" ht="15" hidden="false" customHeight="false" outlineLevel="0" collapsed="false">
      <c r="A206" s="79" t="n">
        <v>205</v>
      </c>
      <c r="B206" s="79" t="s">
        <v>5</v>
      </c>
      <c r="C206" s="79" t="s">
        <v>1082</v>
      </c>
      <c r="D206" s="79" t="s">
        <v>1083</v>
      </c>
      <c r="E206" s="80" t="s">
        <v>1084</v>
      </c>
      <c r="F206" s="79" t="s">
        <v>1085</v>
      </c>
      <c r="G206" s="79" t="s">
        <v>50</v>
      </c>
      <c r="H206" s="79"/>
    </row>
    <row r="207" customFormat="false" ht="15" hidden="false" customHeight="false" outlineLevel="0" collapsed="false">
      <c r="A207" s="79" t="n">
        <v>206</v>
      </c>
      <c r="B207" s="79" t="s">
        <v>5</v>
      </c>
      <c r="C207" s="79" t="s">
        <v>1086</v>
      </c>
      <c r="D207" s="79" t="s">
        <v>1087</v>
      </c>
      <c r="E207" s="80" t="s">
        <v>1088</v>
      </c>
      <c r="F207" s="79" t="s">
        <v>1089</v>
      </c>
      <c r="G207" s="79" t="s">
        <v>50</v>
      </c>
      <c r="H207" s="79"/>
    </row>
    <row r="208" customFormat="false" ht="15" hidden="false" customHeight="false" outlineLevel="0" collapsed="false">
      <c r="A208" s="79" t="n">
        <v>207</v>
      </c>
      <c r="B208" s="79" t="s">
        <v>5</v>
      </c>
      <c r="C208" s="79" t="s">
        <v>1090</v>
      </c>
      <c r="D208" s="79" t="s">
        <v>1091</v>
      </c>
      <c r="E208" s="80" t="s">
        <v>1092</v>
      </c>
      <c r="F208" s="79" t="s">
        <v>1093</v>
      </c>
      <c r="G208" s="79" t="s">
        <v>50</v>
      </c>
      <c r="H208" s="79"/>
    </row>
    <row r="209" customFormat="false" ht="15" hidden="false" customHeight="false" outlineLevel="0" collapsed="false">
      <c r="A209" s="79" t="n">
        <v>208</v>
      </c>
      <c r="B209" s="79" t="s">
        <v>5</v>
      </c>
      <c r="C209" s="79" t="s">
        <v>1094</v>
      </c>
      <c r="D209" s="79" t="s">
        <v>1095</v>
      </c>
      <c r="E209" s="80" t="s">
        <v>1096</v>
      </c>
      <c r="F209" s="79" t="s">
        <v>1097</v>
      </c>
      <c r="G209" s="79" t="s">
        <v>50</v>
      </c>
      <c r="H209" s="79"/>
    </row>
    <row r="210" customFormat="false" ht="15" hidden="false" customHeight="false" outlineLevel="0" collapsed="false">
      <c r="A210" s="79" t="n">
        <v>209</v>
      </c>
      <c r="B210" s="79" t="s">
        <v>5</v>
      </c>
      <c r="C210" s="79" t="s">
        <v>1098</v>
      </c>
      <c r="D210" s="79" t="s">
        <v>1099</v>
      </c>
      <c r="E210" s="80" t="s">
        <v>1100</v>
      </c>
      <c r="F210" s="79" t="s">
        <v>1101</v>
      </c>
      <c r="G210" s="79" t="s">
        <v>50</v>
      </c>
      <c r="H210" s="79"/>
    </row>
    <row r="211" customFormat="false" ht="15" hidden="false" customHeight="false" outlineLevel="0" collapsed="false">
      <c r="A211" s="79" t="n">
        <v>210</v>
      </c>
      <c r="B211" s="79" t="s">
        <v>5</v>
      </c>
      <c r="C211" s="79" t="s">
        <v>1102</v>
      </c>
      <c r="D211" s="79" t="s">
        <v>1103</v>
      </c>
      <c r="E211" s="80" t="s">
        <v>1104</v>
      </c>
      <c r="F211" s="79" t="s">
        <v>1105</v>
      </c>
      <c r="G211" s="79" t="s">
        <v>50</v>
      </c>
      <c r="H211" s="79"/>
    </row>
    <row r="212" customFormat="false" ht="15" hidden="false" customHeight="false" outlineLevel="0" collapsed="false">
      <c r="A212" s="79" t="n">
        <v>211</v>
      </c>
      <c r="B212" s="79" t="s">
        <v>5</v>
      </c>
      <c r="C212" s="79" t="s">
        <v>1106</v>
      </c>
      <c r="D212" s="79" t="s">
        <v>1107</v>
      </c>
      <c r="E212" s="80" t="s">
        <v>1108</v>
      </c>
      <c r="F212" s="79" t="s">
        <v>1109</v>
      </c>
      <c r="G212" s="79" t="s">
        <v>50</v>
      </c>
      <c r="H212" s="79"/>
    </row>
    <row r="213" customFormat="false" ht="15" hidden="false" customHeight="false" outlineLevel="0" collapsed="false">
      <c r="A213" s="79" t="n">
        <v>212</v>
      </c>
      <c r="B213" s="79" t="s">
        <v>5</v>
      </c>
      <c r="C213" s="79" t="s">
        <v>1110</v>
      </c>
      <c r="D213" s="79" t="s">
        <v>1111</v>
      </c>
      <c r="E213" s="80" t="s">
        <v>1112</v>
      </c>
      <c r="F213" s="79" t="s">
        <v>1113</v>
      </c>
      <c r="G213" s="79" t="s">
        <v>50</v>
      </c>
      <c r="H213" s="79"/>
    </row>
    <row r="214" customFormat="false" ht="15" hidden="false" customHeight="false" outlineLevel="0" collapsed="false">
      <c r="A214" s="79" t="n">
        <v>213</v>
      </c>
      <c r="B214" s="79" t="s">
        <v>5</v>
      </c>
      <c r="C214" s="79" t="s">
        <v>1114</v>
      </c>
      <c r="D214" s="79" t="s">
        <v>1115</v>
      </c>
      <c r="E214" s="80" t="s">
        <v>1116</v>
      </c>
      <c r="F214" s="79" t="s">
        <v>1117</v>
      </c>
      <c r="G214" s="79" t="s">
        <v>50</v>
      </c>
      <c r="H214" s="79"/>
    </row>
    <row r="215" customFormat="false" ht="15" hidden="false" customHeight="false" outlineLevel="0" collapsed="false">
      <c r="A215" s="79" t="n">
        <v>214</v>
      </c>
      <c r="B215" s="79" t="s">
        <v>5</v>
      </c>
      <c r="C215" s="79" t="s">
        <v>513</v>
      </c>
      <c r="D215" s="79" t="s">
        <v>1118</v>
      </c>
      <c r="E215" s="80" t="s">
        <v>1119</v>
      </c>
      <c r="F215" s="79" t="s">
        <v>1120</v>
      </c>
      <c r="G215" s="79" t="s">
        <v>50</v>
      </c>
      <c r="H215" s="79"/>
    </row>
    <row r="216" customFormat="false" ht="15" hidden="false" customHeight="false" outlineLevel="0" collapsed="false">
      <c r="A216" s="79" t="n">
        <v>215</v>
      </c>
      <c r="B216" s="79" t="s">
        <v>5</v>
      </c>
      <c r="C216" s="79" t="s">
        <v>521</v>
      </c>
      <c r="D216" s="79" t="s">
        <v>1121</v>
      </c>
      <c r="E216" s="80" t="s">
        <v>1122</v>
      </c>
      <c r="F216" s="79" t="s">
        <v>1123</v>
      </c>
      <c r="G216" s="79" t="s">
        <v>50</v>
      </c>
      <c r="H216" s="79"/>
    </row>
    <row r="217" customFormat="false" ht="15" hidden="false" customHeight="false" outlineLevel="0" collapsed="false">
      <c r="A217" s="79" t="n">
        <v>216</v>
      </c>
      <c r="B217" s="79" t="s">
        <v>5</v>
      </c>
      <c r="C217" s="79" t="s">
        <v>1124</v>
      </c>
      <c r="D217" s="79" t="s">
        <v>1125</v>
      </c>
      <c r="E217" s="80" t="s">
        <v>1126</v>
      </c>
      <c r="F217" s="79" t="s">
        <v>1127</v>
      </c>
      <c r="G217" s="79" t="s">
        <v>50</v>
      </c>
      <c r="H217" s="79"/>
    </row>
    <row r="218" customFormat="false" ht="15" hidden="false" customHeight="false" outlineLevel="0" collapsed="false">
      <c r="A218" s="79" t="n">
        <v>217</v>
      </c>
      <c r="B218" s="79" t="s">
        <v>5</v>
      </c>
      <c r="C218" s="79" t="s">
        <v>950</v>
      </c>
      <c r="D218" s="79" t="s">
        <v>1128</v>
      </c>
      <c r="E218" s="80" t="s">
        <v>1129</v>
      </c>
      <c r="F218" s="79" t="s">
        <v>893</v>
      </c>
      <c r="G218" s="79" t="s">
        <v>50</v>
      </c>
      <c r="H218" s="79"/>
    </row>
    <row r="219" customFormat="false" ht="15" hidden="false" customHeight="false" outlineLevel="0" collapsed="false">
      <c r="A219" s="79" t="n">
        <v>218</v>
      </c>
      <c r="B219" s="79" t="s">
        <v>5</v>
      </c>
      <c r="C219" s="79" t="s">
        <v>1130</v>
      </c>
      <c r="D219" s="79" t="s">
        <v>1131</v>
      </c>
      <c r="E219" s="80" t="s">
        <v>1132</v>
      </c>
      <c r="F219" s="79" t="s">
        <v>1133</v>
      </c>
      <c r="G219" s="79" t="s">
        <v>50</v>
      </c>
      <c r="H219" s="79"/>
    </row>
    <row r="220" customFormat="false" ht="15" hidden="false" customHeight="false" outlineLevel="0" collapsed="false">
      <c r="A220" s="79" t="n">
        <v>219</v>
      </c>
      <c r="B220" s="79" t="s">
        <v>5</v>
      </c>
      <c r="C220" s="79" t="s">
        <v>1134</v>
      </c>
      <c r="D220" s="79" t="s">
        <v>1135</v>
      </c>
      <c r="E220" s="80" t="s">
        <v>1136</v>
      </c>
      <c r="F220" s="79" t="s">
        <v>1137</v>
      </c>
      <c r="G220" s="79" t="s">
        <v>50</v>
      </c>
      <c r="H220" s="79"/>
    </row>
    <row r="221" customFormat="false" ht="15" hidden="false" customHeight="false" outlineLevel="0" collapsed="false">
      <c r="A221" s="79" t="n">
        <v>220</v>
      </c>
      <c r="B221" s="79" t="s">
        <v>5</v>
      </c>
      <c r="C221" s="79" t="s">
        <v>1138</v>
      </c>
      <c r="D221" s="79" t="s">
        <v>1139</v>
      </c>
      <c r="E221" s="80" t="s">
        <v>1140</v>
      </c>
      <c r="F221" s="79" t="s">
        <v>1141</v>
      </c>
      <c r="G221" s="79" t="s">
        <v>50</v>
      </c>
      <c r="H221" s="79" t="s">
        <v>845</v>
      </c>
    </row>
    <row r="222" customFormat="false" ht="15" hidden="false" customHeight="false" outlineLevel="0" collapsed="false">
      <c r="A222" s="79" t="n">
        <v>221</v>
      </c>
      <c r="B222" s="79" t="s">
        <v>5</v>
      </c>
      <c r="C222" s="79" t="s">
        <v>1142</v>
      </c>
      <c r="D222" s="79" t="s">
        <v>1143</v>
      </c>
      <c r="E222" s="80" t="s">
        <v>1144</v>
      </c>
      <c r="F222" s="79" t="s">
        <v>1145</v>
      </c>
      <c r="G222" s="79" t="s">
        <v>50</v>
      </c>
      <c r="H222" s="79" t="s">
        <v>845</v>
      </c>
    </row>
    <row r="223" customFormat="false" ht="15" hidden="false" customHeight="false" outlineLevel="0" collapsed="false">
      <c r="A223" s="79" t="n">
        <v>222</v>
      </c>
      <c r="B223" s="79" t="s">
        <v>5</v>
      </c>
      <c r="C223" s="79" t="s">
        <v>1146</v>
      </c>
      <c r="D223" s="79" t="s">
        <v>1147</v>
      </c>
      <c r="E223" s="80" t="s">
        <v>1148</v>
      </c>
      <c r="F223" s="79" t="s">
        <v>1149</v>
      </c>
      <c r="G223" s="79" t="s">
        <v>50</v>
      </c>
      <c r="H223" s="79" t="s">
        <v>845</v>
      </c>
    </row>
    <row r="224" customFormat="false" ht="15" hidden="false" customHeight="false" outlineLevel="0" collapsed="false">
      <c r="A224" s="79" t="n">
        <v>223</v>
      </c>
      <c r="B224" s="79" t="s">
        <v>5</v>
      </c>
      <c r="C224" s="79" t="s">
        <v>1150</v>
      </c>
      <c r="D224" s="79" t="s">
        <v>1151</v>
      </c>
      <c r="E224" s="80" t="s">
        <v>1152</v>
      </c>
      <c r="F224" s="79" t="s">
        <v>1153</v>
      </c>
      <c r="G224" s="79" t="s">
        <v>50</v>
      </c>
      <c r="H224" s="79"/>
    </row>
    <row r="225" customFormat="false" ht="15" hidden="false" customHeight="false" outlineLevel="0" collapsed="false">
      <c r="A225" s="79" t="n">
        <v>224</v>
      </c>
      <c r="B225" s="79" t="s">
        <v>5</v>
      </c>
      <c r="C225" s="79" t="s">
        <v>1154</v>
      </c>
      <c r="D225" s="79" t="s">
        <v>1155</v>
      </c>
      <c r="E225" s="80" t="s">
        <v>1156</v>
      </c>
      <c r="F225" s="79" t="s">
        <v>1157</v>
      </c>
      <c r="G225" s="79" t="s">
        <v>50</v>
      </c>
      <c r="H225" s="79"/>
    </row>
    <row r="226" customFormat="false" ht="15" hidden="false" customHeight="false" outlineLevel="0" collapsed="false">
      <c r="A226" s="79" t="n">
        <v>225</v>
      </c>
      <c r="B226" s="79" t="s">
        <v>5</v>
      </c>
      <c r="C226" s="79" t="s">
        <v>1158</v>
      </c>
      <c r="D226" s="79" t="s">
        <v>1159</v>
      </c>
      <c r="E226" s="80" t="s">
        <v>652</v>
      </c>
      <c r="F226" s="79" t="s">
        <v>653</v>
      </c>
      <c r="G226" s="79" t="s">
        <v>50</v>
      </c>
      <c r="H226" s="79"/>
    </row>
    <row r="227" customFormat="false" ht="15" hidden="false" customHeight="false" outlineLevel="0" collapsed="false">
      <c r="A227" s="79" t="n">
        <v>226</v>
      </c>
      <c r="B227" s="79" t="s">
        <v>5</v>
      </c>
      <c r="C227" s="79" t="s">
        <v>1160</v>
      </c>
      <c r="D227" s="79" t="s">
        <v>1161</v>
      </c>
      <c r="E227" s="80" t="s">
        <v>1162</v>
      </c>
      <c r="F227" s="79" t="s">
        <v>1163</v>
      </c>
      <c r="G227" s="79" t="s">
        <v>50</v>
      </c>
      <c r="H227" s="79"/>
    </row>
    <row r="228" customFormat="false" ht="15" hidden="false" customHeight="false" outlineLevel="0" collapsed="false">
      <c r="A228" s="79" t="n">
        <v>227</v>
      </c>
      <c r="B228" s="79" t="s">
        <v>5</v>
      </c>
      <c r="C228" s="79" t="s">
        <v>1164</v>
      </c>
      <c r="D228" s="79" t="s">
        <v>1165</v>
      </c>
      <c r="E228" s="80" t="s">
        <v>1166</v>
      </c>
      <c r="F228" s="79" t="s">
        <v>1167</v>
      </c>
      <c r="G228" s="79" t="s">
        <v>50</v>
      </c>
      <c r="H228" s="79" t="s">
        <v>845</v>
      </c>
    </row>
    <row r="229" customFormat="false" ht="15" hidden="false" customHeight="false" outlineLevel="0" collapsed="false">
      <c r="A229" s="79" t="n">
        <v>228</v>
      </c>
      <c r="B229" s="79" t="s">
        <v>5</v>
      </c>
      <c r="C229" s="79" t="s">
        <v>1168</v>
      </c>
      <c r="D229" s="79" t="s">
        <v>1169</v>
      </c>
      <c r="E229" s="80" t="s">
        <v>1170</v>
      </c>
      <c r="F229" s="79" t="s">
        <v>1171</v>
      </c>
      <c r="G229" s="79" t="s">
        <v>50</v>
      </c>
      <c r="H229" s="79" t="s">
        <v>845</v>
      </c>
    </row>
    <row r="230" customFormat="false" ht="15" hidden="false" customHeight="false" outlineLevel="0" collapsed="false">
      <c r="A230" s="79" t="n">
        <v>229</v>
      </c>
      <c r="B230" s="79" t="s">
        <v>5</v>
      </c>
      <c r="C230" s="79" t="s">
        <v>1172</v>
      </c>
      <c r="D230" s="79" t="s">
        <v>1173</v>
      </c>
      <c r="E230" s="80" t="s">
        <v>1174</v>
      </c>
      <c r="F230" s="79" t="s">
        <v>1175</v>
      </c>
      <c r="G230" s="79" t="s">
        <v>50</v>
      </c>
      <c r="H230" s="79"/>
    </row>
    <row r="231" customFormat="false" ht="15" hidden="false" customHeight="false" outlineLevel="0" collapsed="false">
      <c r="A231" s="79" t="n">
        <v>230</v>
      </c>
      <c r="B231" s="79" t="s">
        <v>5</v>
      </c>
      <c r="C231" s="79" t="s">
        <v>1176</v>
      </c>
      <c r="D231" s="79" t="s">
        <v>1177</v>
      </c>
      <c r="E231" s="80" t="s">
        <v>1178</v>
      </c>
      <c r="F231" s="79" t="s">
        <v>1179</v>
      </c>
      <c r="G231" s="79" t="s">
        <v>50</v>
      </c>
      <c r="H231" s="79"/>
    </row>
    <row r="232" customFormat="false" ht="15" hidden="false" customHeight="false" outlineLevel="0" collapsed="false">
      <c r="A232" s="79" t="n">
        <v>231</v>
      </c>
      <c r="B232" s="79" t="s">
        <v>5</v>
      </c>
      <c r="C232" s="79" t="s">
        <v>1180</v>
      </c>
      <c r="D232" s="79" t="s">
        <v>1181</v>
      </c>
      <c r="E232" s="80" t="s">
        <v>1182</v>
      </c>
      <c r="F232" s="79" t="s">
        <v>1183</v>
      </c>
      <c r="G232" s="79" t="s">
        <v>52</v>
      </c>
      <c r="H232" s="79"/>
    </row>
    <row r="233" customFormat="false" ht="15" hidden="false" customHeight="false" outlineLevel="0" collapsed="false">
      <c r="A233" s="79" t="n">
        <v>232</v>
      </c>
      <c r="B233" s="79" t="s">
        <v>5</v>
      </c>
      <c r="C233" s="79" t="s">
        <v>1184</v>
      </c>
      <c r="D233" s="79" t="s">
        <v>1185</v>
      </c>
      <c r="E233" s="80" t="s">
        <v>1186</v>
      </c>
      <c r="F233" s="79" t="s">
        <v>716</v>
      </c>
      <c r="G233" s="79" t="s">
        <v>52</v>
      </c>
      <c r="H233" s="79"/>
    </row>
    <row r="234" customFormat="false" ht="15" hidden="false" customHeight="false" outlineLevel="0" collapsed="false">
      <c r="A234" s="79" t="n">
        <v>233</v>
      </c>
      <c r="B234" s="79" t="s">
        <v>5</v>
      </c>
      <c r="C234" s="79" t="s">
        <v>1187</v>
      </c>
      <c r="D234" s="79" t="s">
        <v>1188</v>
      </c>
      <c r="E234" s="80" t="s">
        <v>1189</v>
      </c>
      <c r="F234" s="79" t="s">
        <v>1190</v>
      </c>
      <c r="G234" s="79" t="s">
        <v>52</v>
      </c>
      <c r="H234" s="79"/>
    </row>
    <row r="235" customFormat="false" ht="15" hidden="false" customHeight="false" outlineLevel="0" collapsed="false">
      <c r="A235" s="79" t="n">
        <v>234</v>
      </c>
      <c r="B235" s="79" t="s">
        <v>5</v>
      </c>
      <c r="C235" s="79" t="s">
        <v>1191</v>
      </c>
      <c r="D235" s="79" t="s">
        <v>577</v>
      </c>
      <c r="E235" s="80" t="s">
        <v>1192</v>
      </c>
      <c r="F235" s="79" t="s">
        <v>1193</v>
      </c>
      <c r="G235" s="79" t="s">
        <v>52</v>
      </c>
      <c r="H235" s="79"/>
    </row>
    <row r="236" customFormat="false" ht="15" hidden="false" customHeight="false" outlineLevel="0" collapsed="false">
      <c r="A236" s="79" t="n">
        <v>235</v>
      </c>
      <c r="B236" s="79" t="s">
        <v>5</v>
      </c>
      <c r="C236" s="79" t="s">
        <v>1194</v>
      </c>
      <c r="D236" s="79" t="s">
        <v>1195</v>
      </c>
      <c r="E236" s="80" t="s">
        <v>1196</v>
      </c>
      <c r="F236" s="79" t="s">
        <v>1197</v>
      </c>
      <c r="G236" s="79" t="s">
        <v>52</v>
      </c>
      <c r="H236" s="79"/>
    </row>
    <row r="237" customFormat="false" ht="15" hidden="false" customHeight="false" outlineLevel="0" collapsed="false">
      <c r="A237" s="79" t="n">
        <v>236</v>
      </c>
      <c r="B237" s="79" t="s">
        <v>5</v>
      </c>
      <c r="C237" s="79" t="s">
        <v>1198</v>
      </c>
      <c r="D237" s="79" t="s">
        <v>1199</v>
      </c>
      <c r="E237" s="80" t="s">
        <v>1200</v>
      </c>
      <c r="F237" s="79" t="s">
        <v>1201</v>
      </c>
      <c r="G237" s="79" t="s">
        <v>52</v>
      </c>
      <c r="H237" s="79"/>
    </row>
    <row r="238" customFormat="false" ht="15" hidden="false" customHeight="false" outlineLevel="0" collapsed="false">
      <c r="A238" s="79" t="n">
        <v>237</v>
      </c>
      <c r="B238" s="79" t="s">
        <v>5</v>
      </c>
      <c r="C238" s="79" t="s">
        <v>1202</v>
      </c>
      <c r="D238" s="79" t="s">
        <v>1203</v>
      </c>
      <c r="E238" s="80" t="s">
        <v>1204</v>
      </c>
      <c r="F238" s="79" t="s">
        <v>1205</v>
      </c>
      <c r="G238" s="79" t="s">
        <v>52</v>
      </c>
      <c r="H238" s="79"/>
    </row>
    <row r="239" customFormat="false" ht="15" hidden="false" customHeight="false" outlineLevel="0" collapsed="false">
      <c r="A239" s="79" t="n">
        <v>238</v>
      </c>
      <c r="B239" s="79" t="s">
        <v>5</v>
      </c>
      <c r="C239" s="79" t="s">
        <v>1206</v>
      </c>
      <c r="D239" s="79" t="s">
        <v>1207</v>
      </c>
      <c r="E239" s="80" t="s">
        <v>1208</v>
      </c>
      <c r="F239" s="79" t="s">
        <v>1209</v>
      </c>
      <c r="G239" s="79" t="s">
        <v>52</v>
      </c>
      <c r="H239" s="79"/>
    </row>
    <row r="240" customFormat="false" ht="15" hidden="false" customHeight="false" outlineLevel="0" collapsed="false">
      <c r="A240" s="79" t="n">
        <v>239</v>
      </c>
      <c r="B240" s="79" t="s">
        <v>5</v>
      </c>
      <c r="C240" s="79" t="s">
        <v>1210</v>
      </c>
      <c r="D240" s="79" t="s">
        <v>1211</v>
      </c>
      <c r="E240" s="80" t="s">
        <v>1212</v>
      </c>
      <c r="F240" s="79" t="s">
        <v>1213</v>
      </c>
      <c r="G240" s="79" t="s">
        <v>52</v>
      </c>
      <c r="H240" s="79"/>
    </row>
    <row r="241" customFormat="false" ht="15" hidden="false" customHeight="false" outlineLevel="0" collapsed="false">
      <c r="A241" s="79" t="n">
        <v>240</v>
      </c>
      <c r="B241" s="79" t="s">
        <v>5</v>
      </c>
      <c r="C241" s="79" t="s">
        <v>1214</v>
      </c>
      <c r="D241" s="79" t="s">
        <v>1215</v>
      </c>
      <c r="E241" s="80" t="s">
        <v>1216</v>
      </c>
      <c r="F241" s="79" t="s">
        <v>1217</v>
      </c>
      <c r="G241" s="79" t="s">
        <v>52</v>
      </c>
      <c r="H241" s="79"/>
    </row>
    <row r="242" customFormat="false" ht="15" hidden="false" customHeight="false" outlineLevel="0" collapsed="false">
      <c r="A242" s="79" t="n">
        <v>241</v>
      </c>
      <c r="B242" s="79" t="s">
        <v>5</v>
      </c>
      <c r="C242" s="79" t="s">
        <v>1218</v>
      </c>
      <c r="D242" s="79" t="s">
        <v>1219</v>
      </c>
      <c r="E242" s="80" t="s">
        <v>1220</v>
      </c>
      <c r="F242" s="79" t="s">
        <v>1221</v>
      </c>
      <c r="G242" s="79" t="s">
        <v>52</v>
      </c>
      <c r="H242" s="79"/>
    </row>
    <row r="243" customFormat="false" ht="15" hidden="false" customHeight="false" outlineLevel="0" collapsed="false">
      <c r="A243" s="79" t="n">
        <v>242</v>
      </c>
      <c r="B243" s="79" t="s">
        <v>5</v>
      </c>
      <c r="C243" s="79" t="s">
        <v>1222</v>
      </c>
      <c r="D243" s="79" t="s">
        <v>1223</v>
      </c>
      <c r="E243" s="80" t="s">
        <v>1224</v>
      </c>
      <c r="F243" s="79" t="s">
        <v>387</v>
      </c>
      <c r="G243" s="79" t="s">
        <v>54</v>
      </c>
      <c r="H243" s="79"/>
    </row>
    <row r="244" customFormat="false" ht="15" hidden="false" customHeight="false" outlineLevel="0" collapsed="false">
      <c r="A244" s="79" t="n">
        <v>243</v>
      </c>
      <c r="B244" s="79" t="s">
        <v>5</v>
      </c>
      <c r="C244" s="79" t="s">
        <v>1225</v>
      </c>
      <c r="D244" s="79" t="s">
        <v>1226</v>
      </c>
      <c r="E244" s="80" t="s">
        <v>1227</v>
      </c>
      <c r="F244" s="79" t="s">
        <v>1228</v>
      </c>
      <c r="G244" s="79" t="s">
        <v>54</v>
      </c>
      <c r="H244" s="79"/>
    </row>
    <row r="245" customFormat="false" ht="15" hidden="false" customHeight="false" outlineLevel="0" collapsed="false">
      <c r="A245" s="79" t="n">
        <v>244</v>
      </c>
      <c r="B245" s="79" t="s">
        <v>5</v>
      </c>
      <c r="C245" s="79" t="s">
        <v>1229</v>
      </c>
      <c r="D245" s="79" t="s">
        <v>1230</v>
      </c>
      <c r="E245" s="80" t="s">
        <v>1231</v>
      </c>
      <c r="F245" s="79" t="s">
        <v>1232</v>
      </c>
      <c r="G245" s="79" t="s">
        <v>54</v>
      </c>
      <c r="H245" s="79"/>
    </row>
    <row r="246" customFormat="false" ht="15" hidden="false" customHeight="false" outlineLevel="0" collapsed="false">
      <c r="A246" s="79" t="n">
        <v>245</v>
      </c>
      <c r="B246" s="79" t="s">
        <v>5</v>
      </c>
      <c r="C246" s="79" t="s">
        <v>1233</v>
      </c>
      <c r="D246" s="79" t="s">
        <v>1234</v>
      </c>
      <c r="E246" s="80" t="s">
        <v>1235</v>
      </c>
      <c r="F246" s="79" t="s">
        <v>1236</v>
      </c>
      <c r="G246" s="79" t="s">
        <v>54</v>
      </c>
      <c r="H246" s="79"/>
    </row>
    <row r="247" customFormat="false" ht="15" hidden="false" customHeight="false" outlineLevel="0" collapsed="false">
      <c r="A247" s="79" t="n">
        <v>246</v>
      </c>
      <c r="B247" s="79" t="s">
        <v>5</v>
      </c>
      <c r="C247" s="79" t="s">
        <v>1237</v>
      </c>
      <c r="D247" s="79" t="s">
        <v>1238</v>
      </c>
      <c r="E247" s="80" t="s">
        <v>1239</v>
      </c>
      <c r="F247" s="79" t="s">
        <v>1240</v>
      </c>
      <c r="G247" s="79" t="s">
        <v>54</v>
      </c>
      <c r="H247" s="79"/>
    </row>
    <row r="248" customFormat="false" ht="15" hidden="false" customHeight="false" outlineLevel="0" collapsed="false">
      <c r="A248" s="79" t="n">
        <v>247</v>
      </c>
      <c r="B248" s="79" t="s">
        <v>5</v>
      </c>
      <c r="C248" s="79" t="s">
        <v>510</v>
      </c>
      <c r="D248" s="79" t="s">
        <v>1241</v>
      </c>
      <c r="E248" s="80" t="s">
        <v>1242</v>
      </c>
      <c r="F248" s="79" t="s">
        <v>1243</v>
      </c>
      <c r="G248" s="79" t="s">
        <v>54</v>
      </c>
      <c r="H248" s="79"/>
    </row>
    <row r="249" customFormat="false" ht="15" hidden="false" customHeight="false" outlineLevel="0" collapsed="false">
      <c r="A249" s="79" t="n">
        <v>248</v>
      </c>
      <c r="B249" s="79" t="s">
        <v>5</v>
      </c>
      <c r="C249" s="79" t="s">
        <v>506</v>
      </c>
      <c r="D249" s="79" t="s">
        <v>1244</v>
      </c>
      <c r="E249" s="80" t="s">
        <v>1245</v>
      </c>
      <c r="F249" s="79" t="s">
        <v>1246</v>
      </c>
      <c r="G249" s="79" t="s">
        <v>54</v>
      </c>
      <c r="H249" s="79"/>
    </row>
    <row r="250" customFormat="false" ht="15" hidden="false" customHeight="false" outlineLevel="0" collapsed="false">
      <c r="A250" s="79" t="n">
        <v>249</v>
      </c>
      <c r="B250" s="79" t="s">
        <v>5</v>
      </c>
      <c r="C250" s="79" t="s">
        <v>1247</v>
      </c>
      <c r="D250" s="79" t="s">
        <v>1248</v>
      </c>
      <c r="E250" s="80" t="s">
        <v>1249</v>
      </c>
      <c r="F250" s="79" t="s">
        <v>1250</v>
      </c>
      <c r="G250" s="79" t="s">
        <v>54</v>
      </c>
      <c r="H250" s="79"/>
    </row>
    <row r="251" customFormat="false" ht="15" hidden="false" customHeight="false" outlineLevel="0" collapsed="false">
      <c r="A251" s="79" t="n">
        <v>250</v>
      </c>
      <c r="B251" s="79" t="s">
        <v>5</v>
      </c>
      <c r="C251" s="79" t="s">
        <v>1251</v>
      </c>
      <c r="D251" s="79" t="s">
        <v>1252</v>
      </c>
      <c r="E251" s="80" t="s">
        <v>1253</v>
      </c>
      <c r="F251" s="79" t="s">
        <v>1254</v>
      </c>
      <c r="G251" s="79" t="s">
        <v>54</v>
      </c>
      <c r="H251" s="79"/>
    </row>
    <row r="252" customFormat="false" ht="15" hidden="false" customHeight="false" outlineLevel="0" collapsed="false">
      <c r="A252" s="79" t="n">
        <v>251</v>
      </c>
      <c r="B252" s="79" t="s">
        <v>5</v>
      </c>
      <c r="C252" s="79" t="s">
        <v>1255</v>
      </c>
      <c r="D252" s="79" t="s">
        <v>1256</v>
      </c>
      <c r="E252" s="80" t="s">
        <v>1257</v>
      </c>
      <c r="F252" s="79" t="s">
        <v>1258</v>
      </c>
      <c r="G252" s="79" t="s">
        <v>54</v>
      </c>
      <c r="H252" s="79" t="s">
        <v>845</v>
      </c>
    </row>
    <row r="253" customFormat="false" ht="15" hidden="false" customHeight="false" outlineLevel="0" collapsed="false">
      <c r="A253" s="79" t="n">
        <v>252</v>
      </c>
      <c r="B253" s="79" t="s">
        <v>5</v>
      </c>
      <c r="C253" s="79" t="s">
        <v>1259</v>
      </c>
      <c r="D253" s="79" t="s">
        <v>1260</v>
      </c>
      <c r="E253" s="80" t="s">
        <v>1261</v>
      </c>
      <c r="F253" s="79" t="s">
        <v>1262</v>
      </c>
      <c r="G253" s="79" t="s">
        <v>54</v>
      </c>
      <c r="H253" s="79"/>
    </row>
    <row r="254" customFormat="false" ht="15" hidden="false" customHeight="false" outlineLevel="0" collapsed="false">
      <c r="A254" s="79" t="n">
        <v>253</v>
      </c>
      <c r="B254" s="79" t="s">
        <v>5</v>
      </c>
      <c r="C254" s="79" t="s">
        <v>805</v>
      </c>
      <c r="D254" s="79" t="s">
        <v>1263</v>
      </c>
      <c r="E254" s="80" t="s">
        <v>1264</v>
      </c>
      <c r="F254" s="79" t="s">
        <v>1265</v>
      </c>
      <c r="G254" s="79" t="s">
        <v>54</v>
      </c>
      <c r="H254" s="79"/>
    </row>
    <row r="255" customFormat="false" ht="15" hidden="false" customHeight="false" outlineLevel="0" collapsed="false">
      <c r="A255" s="79" t="n">
        <v>254</v>
      </c>
      <c r="B255" s="79" t="s">
        <v>5</v>
      </c>
      <c r="C255" s="79" t="s">
        <v>685</v>
      </c>
      <c r="D255" s="79" t="s">
        <v>1266</v>
      </c>
      <c r="E255" s="80" t="s">
        <v>1267</v>
      </c>
      <c r="F255" s="79" t="s">
        <v>1268</v>
      </c>
      <c r="G255" s="79" t="s">
        <v>54</v>
      </c>
      <c r="H255" s="79"/>
    </row>
    <row r="256" customFormat="false" ht="15" hidden="false" customHeight="false" outlineLevel="0" collapsed="false">
      <c r="A256" s="79" t="n">
        <v>255</v>
      </c>
      <c r="B256" s="79" t="s">
        <v>5</v>
      </c>
      <c r="C256" s="79" t="s">
        <v>1269</v>
      </c>
      <c r="D256" s="79" t="s">
        <v>1270</v>
      </c>
      <c r="E256" s="80" t="s">
        <v>1271</v>
      </c>
      <c r="F256" s="79" t="s">
        <v>1272</v>
      </c>
      <c r="G256" s="79" t="s">
        <v>54</v>
      </c>
      <c r="H256" s="79"/>
    </row>
    <row r="257" customFormat="false" ht="15" hidden="false" customHeight="false" outlineLevel="0" collapsed="false">
      <c r="A257" s="79" t="n">
        <v>256</v>
      </c>
      <c r="B257" s="79" t="s">
        <v>5</v>
      </c>
      <c r="C257" s="79" t="s">
        <v>681</v>
      </c>
      <c r="D257" s="79" t="s">
        <v>1273</v>
      </c>
      <c r="E257" s="80" t="s">
        <v>1274</v>
      </c>
      <c r="F257" s="79" t="s">
        <v>1275</v>
      </c>
      <c r="G257" s="79" t="s">
        <v>54</v>
      </c>
      <c r="H257" s="79"/>
    </row>
    <row r="258" customFormat="false" ht="15" hidden="false" customHeight="false" outlineLevel="0" collapsed="false">
      <c r="A258" s="79" t="n">
        <v>257</v>
      </c>
      <c r="B258" s="79" t="s">
        <v>5</v>
      </c>
      <c r="C258" s="79" t="s">
        <v>1276</v>
      </c>
      <c r="D258" s="79" t="s">
        <v>1277</v>
      </c>
      <c r="E258" s="80" t="s">
        <v>1278</v>
      </c>
      <c r="F258" s="79" t="s">
        <v>1279</v>
      </c>
      <c r="G258" s="79" t="s">
        <v>54</v>
      </c>
      <c r="H258" s="79" t="s">
        <v>1280</v>
      </c>
    </row>
    <row r="259" customFormat="false" ht="15" hidden="false" customHeight="false" outlineLevel="0" collapsed="false">
      <c r="A259" s="79" t="n">
        <v>258</v>
      </c>
      <c r="B259" s="79" t="s">
        <v>5</v>
      </c>
      <c r="C259" s="79" t="s">
        <v>1281</v>
      </c>
      <c r="D259" s="79" t="s">
        <v>1282</v>
      </c>
      <c r="E259" s="80" t="s">
        <v>1283</v>
      </c>
      <c r="F259" s="79" t="s">
        <v>1284</v>
      </c>
      <c r="G259" s="79" t="s">
        <v>56</v>
      </c>
      <c r="H259" s="79"/>
    </row>
    <row r="260" customFormat="false" ht="15" hidden="false" customHeight="false" outlineLevel="0" collapsed="false">
      <c r="A260" s="79" t="n">
        <v>259</v>
      </c>
      <c r="B260" s="79" t="s">
        <v>5</v>
      </c>
      <c r="C260" s="79" t="s">
        <v>1285</v>
      </c>
      <c r="D260" s="79" t="s">
        <v>1286</v>
      </c>
      <c r="E260" s="80" t="s">
        <v>1287</v>
      </c>
      <c r="F260" s="79" t="s">
        <v>1288</v>
      </c>
      <c r="G260" s="79" t="s">
        <v>56</v>
      </c>
      <c r="H260" s="79"/>
    </row>
    <row r="261" customFormat="false" ht="15" hidden="false" customHeight="false" outlineLevel="0" collapsed="false">
      <c r="A261" s="79" t="n">
        <v>260</v>
      </c>
      <c r="B261" s="79" t="s">
        <v>5</v>
      </c>
      <c r="C261" s="79" t="s">
        <v>1289</v>
      </c>
      <c r="D261" s="79" t="s">
        <v>1290</v>
      </c>
      <c r="E261" s="80" t="s">
        <v>1291</v>
      </c>
      <c r="F261" s="79" t="s">
        <v>1292</v>
      </c>
      <c r="G261" s="79" t="s">
        <v>56</v>
      </c>
      <c r="H261" s="79"/>
    </row>
    <row r="262" customFormat="false" ht="15" hidden="false" customHeight="false" outlineLevel="0" collapsed="false">
      <c r="A262" s="79" t="n">
        <v>261</v>
      </c>
      <c r="B262" s="79" t="s">
        <v>5</v>
      </c>
      <c r="C262" s="79" t="s">
        <v>1293</v>
      </c>
      <c r="D262" s="79" t="s">
        <v>1294</v>
      </c>
      <c r="E262" s="80" t="s">
        <v>1295</v>
      </c>
      <c r="F262" s="79" t="s">
        <v>1296</v>
      </c>
      <c r="G262" s="79" t="s">
        <v>56</v>
      </c>
      <c r="H262" s="79"/>
    </row>
    <row r="263" customFormat="false" ht="15" hidden="false" customHeight="false" outlineLevel="0" collapsed="false">
      <c r="A263" s="79" t="n">
        <v>262</v>
      </c>
      <c r="B263" s="79" t="s">
        <v>5</v>
      </c>
      <c r="C263" s="79" t="s">
        <v>1297</v>
      </c>
      <c r="D263" s="79" t="s">
        <v>1298</v>
      </c>
      <c r="E263" s="80" t="s">
        <v>1299</v>
      </c>
      <c r="F263" s="79" t="s">
        <v>1300</v>
      </c>
      <c r="G263" s="79" t="s">
        <v>56</v>
      </c>
      <c r="H263" s="79"/>
    </row>
    <row r="264" customFormat="false" ht="15" hidden="false" customHeight="false" outlineLevel="0" collapsed="false">
      <c r="A264" s="79" t="n">
        <v>263</v>
      </c>
      <c r="B264" s="79" t="s">
        <v>5</v>
      </c>
      <c r="C264" s="79" t="s">
        <v>1301</v>
      </c>
      <c r="D264" s="79" t="s">
        <v>1302</v>
      </c>
      <c r="E264" s="80" t="s">
        <v>1303</v>
      </c>
      <c r="F264" s="79" t="s">
        <v>1304</v>
      </c>
      <c r="G264" s="79" t="s">
        <v>56</v>
      </c>
      <c r="H264" s="79"/>
    </row>
    <row r="265" customFormat="false" ht="15" hidden="false" customHeight="false" outlineLevel="0" collapsed="false">
      <c r="A265" s="79" t="n">
        <v>264</v>
      </c>
      <c r="B265" s="79" t="s">
        <v>5</v>
      </c>
      <c r="C265" s="79" t="s">
        <v>576</v>
      </c>
      <c r="D265" s="79" t="s">
        <v>577</v>
      </c>
      <c r="E265" s="80" t="s">
        <v>578</v>
      </c>
      <c r="F265" s="79" t="s">
        <v>579</v>
      </c>
      <c r="G265" s="79" t="s">
        <v>56</v>
      </c>
      <c r="H265" s="79"/>
    </row>
    <row r="266" customFormat="false" ht="15" hidden="false" customHeight="false" outlineLevel="0" collapsed="false">
      <c r="A266" s="79" t="n">
        <v>265</v>
      </c>
      <c r="B266" s="79" t="s">
        <v>5</v>
      </c>
      <c r="C266" s="79" t="s">
        <v>1305</v>
      </c>
      <c r="D266" s="79" t="s">
        <v>1306</v>
      </c>
      <c r="E266" s="80" t="s">
        <v>1307</v>
      </c>
      <c r="F266" s="79" t="s">
        <v>1308</v>
      </c>
      <c r="G266" s="79" t="s">
        <v>56</v>
      </c>
      <c r="H266" s="79"/>
    </row>
    <row r="267" customFormat="false" ht="15" hidden="false" customHeight="false" outlineLevel="0" collapsed="false">
      <c r="A267" s="79" t="n">
        <v>266</v>
      </c>
      <c r="B267" s="79" t="s">
        <v>5</v>
      </c>
      <c r="C267" s="79" t="s">
        <v>1309</v>
      </c>
      <c r="D267" s="79" t="s">
        <v>1310</v>
      </c>
      <c r="E267" s="80" t="s">
        <v>1311</v>
      </c>
      <c r="F267" s="79" t="s">
        <v>1312</v>
      </c>
      <c r="G267" s="79" t="s">
        <v>56</v>
      </c>
      <c r="H267" s="79"/>
    </row>
    <row r="268" customFormat="false" ht="15" hidden="false" customHeight="false" outlineLevel="0" collapsed="false">
      <c r="A268" s="79" t="n">
        <v>267</v>
      </c>
      <c r="B268" s="79" t="s">
        <v>5</v>
      </c>
      <c r="C268" s="79" t="s">
        <v>1313</v>
      </c>
      <c r="D268" s="79" t="s">
        <v>1314</v>
      </c>
      <c r="E268" s="80" t="s">
        <v>1315</v>
      </c>
      <c r="F268" s="79" t="s">
        <v>1316</v>
      </c>
      <c r="G268" s="79" t="s">
        <v>56</v>
      </c>
      <c r="H268" s="79" t="s">
        <v>583</v>
      </c>
    </row>
    <row r="269" customFormat="false" ht="15" hidden="false" customHeight="false" outlineLevel="0" collapsed="false">
      <c r="A269" s="79" t="n">
        <v>268</v>
      </c>
      <c r="B269" s="79" t="s">
        <v>5</v>
      </c>
      <c r="C269" s="79" t="s">
        <v>1317</v>
      </c>
      <c r="D269" s="79" t="s">
        <v>1318</v>
      </c>
      <c r="E269" s="80" t="s">
        <v>1319</v>
      </c>
      <c r="F269" s="79" t="s">
        <v>1320</v>
      </c>
      <c r="G269" s="79" t="s">
        <v>56</v>
      </c>
      <c r="H269" s="79"/>
    </row>
    <row r="270" customFormat="false" ht="15" hidden="false" customHeight="false" outlineLevel="0" collapsed="false">
      <c r="A270" s="79" t="n">
        <v>269</v>
      </c>
      <c r="B270" s="79" t="s">
        <v>5</v>
      </c>
      <c r="C270" s="79" t="s">
        <v>1321</v>
      </c>
      <c r="D270" s="79" t="s">
        <v>1322</v>
      </c>
      <c r="E270" s="80" t="s">
        <v>1323</v>
      </c>
      <c r="F270" s="79" t="s">
        <v>1324</v>
      </c>
      <c r="G270" s="79" t="s">
        <v>56</v>
      </c>
      <c r="H270" s="79"/>
    </row>
    <row r="271" customFormat="false" ht="15" hidden="false" customHeight="false" outlineLevel="0" collapsed="false">
      <c r="A271" s="79" t="n">
        <v>270</v>
      </c>
      <c r="B271" s="79" t="s">
        <v>5</v>
      </c>
      <c r="C271" s="79" t="s">
        <v>1325</v>
      </c>
      <c r="D271" s="79" t="s">
        <v>1326</v>
      </c>
      <c r="E271" s="80" t="s">
        <v>1327</v>
      </c>
      <c r="F271" s="79" t="s">
        <v>1328</v>
      </c>
      <c r="G271" s="79" t="s">
        <v>56</v>
      </c>
      <c r="H271" s="79" t="s">
        <v>845</v>
      </c>
    </row>
    <row r="272" customFormat="false" ht="15" hidden="false" customHeight="false" outlineLevel="0" collapsed="false">
      <c r="A272" s="79" t="n">
        <v>271</v>
      </c>
      <c r="B272" s="79" t="s">
        <v>5</v>
      </c>
      <c r="C272" s="79" t="s">
        <v>1329</v>
      </c>
      <c r="D272" s="79" t="s">
        <v>1330</v>
      </c>
      <c r="E272" s="80" t="s">
        <v>1331</v>
      </c>
      <c r="F272" s="79" t="s">
        <v>1332</v>
      </c>
      <c r="G272" s="79" t="s">
        <v>56</v>
      </c>
      <c r="H272" s="79"/>
    </row>
    <row r="273" customFormat="false" ht="15" hidden="false" customHeight="false" outlineLevel="0" collapsed="false">
      <c r="A273" s="79" t="n">
        <v>272</v>
      </c>
      <c r="B273" s="79" t="s">
        <v>5</v>
      </c>
      <c r="C273" s="79" t="s">
        <v>1333</v>
      </c>
      <c r="D273" s="79" t="s">
        <v>1334</v>
      </c>
      <c r="E273" s="80" t="s">
        <v>1335</v>
      </c>
      <c r="F273" s="79" t="s">
        <v>1336</v>
      </c>
      <c r="G273" s="79" t="s">
        <v>56</v>
      </c>
      <c r="H273" s="79"/>
    </row>
    <row r="274" customFormat="false" ht="15" hidden="false" customHeight="false" outlineLevel="0" collapsed="false">
      <c r="A274" s="79" t="n">
        <v>273</v>
      </c>
      <c r="B274" s="79" t="s">
        <v>5</v>
      </c>
      <c r="C274" s="79" t="s">
        <v>1337</v>
      </c>
      <c r="D274" s="79" t="s">
        <v>1338</v>
      </c>
      <c r="E274" s="80" t="s">
        <v>1339</v>
      </c>
      <c r="F274" s="79" t="s">
        <v>1340</v>
      </c>
      <c r="G274" s="79" t="s">
        <v>58</v>
      </c>
      <c r="H274" s="79"/>
    </row>
    <row r="275" customFormat="false" ht="15" hidden="false" customHeight="false" outlineLevel="0" collapsed="false">
      <c r="A275" s="79" t="n">
        <v>274</v>
      </c>
      <c r="B275" s="79" t="s">
        <v>5</v>
      </c>
      <c r="C275" s="79" t="s">
        <v>1341</v>
      </c>
      <c r="D275" s="79" t="s">
        <v>1342</v>
      </c>
      <c r="E275" s="80" t="s">
        <v>1343</v>
      </c>
      <c r="F275" s="79" t="s">
        <v>1344</v>
      </c>
      <c r="G275" s="79" t="s">
        <v>58</v>
      </c>
      <c r="H275" s="79" t="s">
        <v>1345</v>
      </c>
    </row>
    <row r="276" customFormat="false" ht="15" hidden="false" customHeight="false" outlineLevel="0" collapsed="false">
      <c r="A276" s="79" t="n">
        <v>275</v>
      </c>
      <c r="B276" s="79" t="s">
        <v>5</v>
      </c>
      <c r="C276" s="79" t="s">
        <v>1346</v>
      </c>
      <c r="D276" s="79" t="s">
        <v>1347</v>
      </c>
      <c r="E276" s="80" t="s">
        <v>1348</v>
      </c>
      <c r="F276" s="79" t="s">
        <v>1349</v>
      </c>
      <c r="G276" s="79" t="s">
        <v>58</v>
      </c>
      <c r="H276" s="79"/>
    </row>
    <row r="277" customFormat="false" ht="15" hidden="false" customHeight="false" outlineLevel="0" collapsed="false">
      <c r="A277" s="79" t="n">
        <v>276</v>
      </c>
      <c r="B277" s="79" t="s">
        <v>5</v>
      </c>
      <c r="C277" s="79" t="s">
        <v>1350</v>
      </c>
      <c r="D277" s="79" t="s">
        <v>1351</v>
      </c>
      <c r="E277" s="80" t="s">
        <v>1352</v>
      </c>
      <c r="F277" s="79" t="s">
        <v>1353</v>
      </c>
      <c r="G277" s="79" t="s">
        <v>58</v>
      </c>
      <c r="H277" s="79"/>
    </row>
    <row r="278" customFormat="false" ht="15" hidden="false" customHeight="false" outlineLevel="0" collapsed="false">
      <c r="A278" s="79" t="n">
        <v>277</v>
      </c>
      <c r="B278" s="79" t="s">
        <v>5</v>
      </c>
      <c r="C278" s="79" t="s">
        <v>1354</v>
      </c>
      <c r="D278" s="79" t="s">
        <v>1355</v>
      </c>
      <c r="E278" s="80" t="s">
        <v>1356</v>
      </c>
      <c r="F278" s="79" t="s">
        <v>1357</v>
      </c>
      <c r="G278" s="79" t="s">
        <v>58</v>
      </c>
      <c r="H278" s="79"/>
    </row>
    <row r="279" customFormat="false" ht="15" hidden="false" customHeight="false" outlineLevel="0" collapsed="false">
      <c r="A279" s="79" t="n">
        <v>278</v>
      </c>
      <c r="B279" s="79" t="s">
        <v>5</v>
      </c>
      <c r="C279" s="79" t="s">
        <v>1358</v>
      </c>
      <c r="D279" s="79" t="s">
        <v>1359</v>
      </c>
      <c r="E279" s="80" t="s">
        <v>1360</v>
      </c>
      <c r="F279" s="79" t="s">
        <v>1361</v>
      </c>
      <c r="G279" s="79" t="s">
        <v>58</v>
      </c>
      <c r="H279" s="79"/>
    </row>
    <row r="280" customFormat="false" ht="15" hidden="false" customHeight="false" outlineLevel="0" collapsed="false">
      <c r="A280" s="79" t="n">
        <v>279</v>
      </c>
      <c r="B280" s="79" t="s">
        <v>5</v>
      </c>
      <c r="C280" s="79" t="s">
        <v>1362</v>
      </c>
      <c r="D280" s="79" t="s">
        <v>1363</v>
      </c>
      <c r="E280" s="80" t="s">
        <v>1364</v>
      </c>
      <c r="F280" s="79" t="s">
        <v>1365</v>
      </c>
      <c r="G280" s="79" t="s">
        <v>58</v>
      </c>
      <c r="H280" s="79"/>
    </row>
    <row r="281" customFormat="false" ht="15" hidden="false" customHeight="false" outlineLevel="0" collapsed="false">
      <c r="A281" s="79" t="n">
        <v>280</v>
      </c>
      <c r="B281" s="79" t="s">
        <v>5</v>
      </c>
      <c r="C281" s="79" t="s">
        <v>1366</v>
      </c>
      <c r="D281" s="79" t="s">
        <v>1367</v>
      </c>
      <c r="E281" s="80" t="s">
        <v>1368</v>
      </c>
      <c r="F281" s="79" t="s">
        <v>1369</v>
      </c>
      <c r="G281" s="79" t="s">
        <v>58</v>
      </c>
      <c r="H281" s="79" t="s">
        <v>1370</v>
      </c>
    </row>
    <row r="282" customFormat="false" ht="15" hidden="false" customHeight="false" outlineLevel="0" collapsed="false">
      <c r="A282" s="79" t="n">
        <v>281</v>
      </c>
      <c r="B282" s="79" t="s">
        <v>5</v>
      </c>
      <c r="C282" s="79" t="s">
        <v>1371</v>
      </c>
      <c r="D282" s="79" t="s">
        <v>1372</v>
      </c>
      <c r="E282" s="80" t="s">
        <v>1373</v>
      </c>
      <c r="F282" s="79" t="s">
        <v>1374</v>
      </c>
      <c r="G282" s="79" t="s">
        <v>58</v>
      </c>
      <c r="H282" s="79"/>
    </row>
    <row r="283" customFormat="false" ht="15" hidden="false" customHeight="false" outlineLevel="0" collapsed="false">
      <c r="A283" s="79" t="n">
        <v>282</v>
      </c>
      <c r="B283" s="79" t="s">
        <v>5</v>
      </c>
      <c r="C283" s="79" t="s">
        <v>1375</v>
      </c>
      <c r="D283" s="79" t="s">
        <v>1376</v>
      </c>
      <c r="E283" s="80" t="s">
        <v>1377</v>
      </c>
      <c r="F283" s="79" t="s">
        <v>1378</v>
      </c>
      <c r="G283" s="79" t="s">
        <v>58</v>
      </c>
      <c r="H283" s="79"/>
    </row>
    <row r="284" customFormat="false" ht="15" hidden="false" customHeight="false" outlineLevel="0" collapsed="false">
      <c r="A284" s="79" t="n">
        <v>283</v>
      </c>
      <c r="B284" s="79" t="s">
        <v>5</v>
      </c>
      <c r="C284" s="79" t="s">
        <v>1379</v>
      </c>
      <c r="D284" s="79" t="s">
        <v>1380</v>
      </c>
      <c r="E284" s="80" t="s">
        <v>1381</v>
      </c>
      <c r="F284" s="79" t="s">
        <v>704</v>
      </c>
      <c r="G284" s="79" t="s">
        <v>58</v>
      </c>
      <c r="H284" s="79"/>
    </row>
    <row r="285" customFormat="false" ht="15" hidden="false" customHeight="false" outlineLevel="0" collapsed="false">
      <c r="A285" s="79" t="n">
        <v>284</v>
      </c>
      <c r="B285" s="79" t="s">
        <v>5</v>
      </c>
      <c r="C285" s="79" t="s">
        <v>1382</v>
      </c>
      <c r="D285" s="79" t="s">
        <v>1383</v>
      </c>
      <c r="E285" s="80" t="s">
        <v>1384</v>
      </c>
      <c r="F285" s="79" t="s">
        <v>1385</v>
      </c>
      <c r="G285" s="79" t="s">
        <v>58</v>
      </c>
      <c r="H285" s="79"/>
    </row>
    <row r="286" customFormat="false" ht="15" hidden="false" customHeight="false" outlineLevel="0" collapsed="false">
      <c r="A286" s="79" t="n">
        <v>285</v>
      </c>
      <c r="B286" s="79" t="s">
        <v>5</v>
      </c>
      <c r="C286" s="79" t="s">
        <v>1386</v>
      </c>
      <c r="D286" s="79" t="s">
        <v>1387</v>
      </c>
      <c r="E286" s="80" t="s">
        <v>1388</v>
      </c>
      <c r="F286" s="79" t="s">
        <v>1389</v>
      </c>
      <c r="G286" s="79" t="s">
        <v>58</v>
      </c>
      <c r="H286" s="79"/>
    </row>
    <row r="287" customFormat="false" ht="15" hidden="false" customHeight="false" outlineLevel="0" collapsed="false">
      <c r="A287" s="79" t="n">
        <v>286</v>
      </c>
      <c r="B287" s="79" t="s">
        <v>5</v>
      </c>
      <c r="C287" s="79" t="s">
        <v>1390</v>
      </c>
      <c r="D287" s="79" t="s">
        <v>1391</v>
      </c>
      <c r="E287" s="80" t="s">
        <v>1392</v>
      </c>
      <c r="F287" s="79" t="s">
        <v>1393</v>
      </c>
      <c r="G287" s="79" t="s">
        <v>58</v>
      </c>
      <c r="H287" s="79" t="s">
        <v>1394</v>
      </c>
    </row>
    <row r="288" customFormat="false" ht="15" hidden="false" customHeight="false" outlineLevel="0" collapsed="false">
      <c r="A288" s="79" t="n">
        <v>287</v>
      </c>
      <c r="B288" s="79" t="s">
        <v>5</v>
      </c>
      <c r="C288" s="79" t="s">
        <v>1395</v>
      </c>
      <c r="D288" s="79" t="s">
        <v>1396</v>
      </c>
      <c r="E288" s="80" t="s">
        <v>1397</v>
      </c>
      <c r="F288" s="79" t="s">
        <v>1398</v>
      </c>
      <c r="G288" s="79" t="s">
        <v>58</v>
      </c>
      <c r="H288" s="79"/>
    </row>
    <row r="289" customFormat="false" ht="15" hidden="false" customHeight="false" outlineLevel="0" collapsed="false">
      <c r="A289" s="79" t="n">
        <v>288</v>
      </c>
      <c r="B289" s="79" t="s">
        <v>5</v>
      </c>
      <c r="C289" s="79" t="s">
        <v>1399</v>
      </c>
      <c r="D289" s="79" t="s">
        <v>1400</v>
      </c>
      <c r="E289" s="80" t="s">
        <v>1401</v>
      </c>
      <c r="F289" s="79" t="s">
        <v>1402</v>
      </c>
      <c r="G289" s="79" t="s">
        <v>58</v>
      </c>
      <c r="H289" s="79"/>
    </row>
    <row r="290" customFormat="false" ht="15" hidden="false" customHeight="false" outlineLevel="0" collapsed="false">
      <c r="A290" s="79" t="n">
        <v>289</v>
      </c>
      <c r="B290" s="79" t="s">
        <v>5</v>
      </c>
      <c r="C290" s="79" t="s">
        <v>1403</v>
      </c>
      <c r="D290" s="79" t="s">
        <v>1404</v>
      </c>
      <c r="E290" s="80" t="s">
        <v>1405</v>
      </c>
      <c r="F290" s="79" t="s">
        <v>897</v>
      </c>
      <c r="G290" s="79" t="s">
        <v>58</v>
      </c>
      <c r="H290" s="79"/>
    </row>
    <row r="291" customFormat="false" ht="15" hidden="false" customHeight="false" outlineLevel="0" collapsed="false">
      <c r="A291" s="79" t="n">
        <v>290</v>
      </c>
      <c r="B291" s="79" t="s">
        <v>5</v>
      </c>
      <c r="C291" s="79" t="s">
        <v>1406</v>
      </c>
      <c r="D291" s="79" t="s">
        <v>1407</v>
      </c>
      <c r="E291" s="80" t="s">
        <v>1408</v>
      </c>
      <c r="F291" s="79" t="s">
        <v>668</v>
      </c>
      <c r="G291" s="79" t="s">
        <v>58</v>
      </c>
      <c r="H291" s="79"/>
    </row>
    <row r="292" customFormat="false" ht="15" hidden="false" customHeight="false" outlineLevel="0" collapsed="false">
      <c r="A292" s="79" t="n">
        <v>291</v>
      </c>
      <c r="B292" s="79" t="s">
        <v>5</v>
      </c>
      <c r="C292" s="79" t="s">
        <v>1409</v>
      </c>
      <c r="D292" s="79" t="s">
        <v>1410</v>
      </c>
      <c r="E292" s="80" t="s">
        <v>1411</v>
      </c>
      <c r="F292" s="79" t="s">
        <v>1412</v>
      </c>
      <c r="G292" s="79" t="s">
        <v>58</v>
      </c>
      <c r="H292" s="79" t="s">
        <v>1413</v>
      </c>
    </row>
    <row r="293" customFormat="false" ht="15" hidden="false" customHeight="false" outlineLevel="0" collapsed="false">
      <c r="A293" s="79" t="n">
        <v>292</v>
      </c>
      <c r="B293" s="79" t="s">
        <v>5</v>
      </c>
      <c r="C293" s="79" t="s">
        <v>1414</v>
      </c>
      <c r="D293" s="79" t="s">
        <v>1415</v>
      </c>
      <c r="E293" s="80" t="s">
        <v>1416</v>
      </c>
      <c r="F293" s="79" t="s">
        <v>1417</v>
      </c>
      <c r="G293" s="79" t="s">
        <v>58</v>
      </c>
      <c r="H293" s="79"/>
    </row>
    <row r="294" customFormat="false" ht="15" hidden="false" customHeight="false" outlineLevel="0" collapsed="false">
      <c r="A294" s="79" t="n">
        <v>293</v>
      </c>
      <c r="B294" s="79" t="s">
        <v>5</v>
      </c>
      <c r="C294" s="79" t="s">
        <v>1418</v>
      </c>
      <c r="D294" s="79" t="s">
        <v>1419</v>
      </c>
      <c r="E294" s="80" t="s">
        <v>1420</v>
      </c>
      <c r="F294" s="79" t="s">
        <v>716</v>
      </c>
      <c r="G294" s="79" t="s">
        <v>58</v>
      </c>
      <c r="H294" s="79"/>
    </row>
    <row r="295" customFormat="false" ht="15" hidden="false" customHeight="false" outlineLevel="0" collapsed="false">
      <c r="A295" s="79" t="n">
        <v>294</v>
      </c>
      <c r="B295" s="79" t="s">
        <v>5</v>
      </c>
      <c r="C295" s="79" t="s">
        <v>1421</v>
      </c>
      <c r="D295" s="79" t="s">
        <v>1422</v>
      </c>
      <c r="E295" s="80" t="s">
        <v>1423</v>
      </c>
      <c r="F295" s="79" t="s">
        <v>1424</v>
      </c>
      <c r="G295" s="79" t="s">
        <v>58</v>
      </c>
      <c r="H295" s="79" t="s">
        <v>1425</v>
      </c>
    </row>
    <row r="296" customFormat="false" ht="15" hidden="false" customHeight="false" outlineLevel="0" collapsed="false">
      <c r="A296" s="79" t="n">
        <v>295</v>
      </c>
      <c r="B296" s="79" t="s">
        <v>5</v>
      </c>
      <c r="C296" s="79" t="s">
        <v>1426</v>
      </c>
      <c r="D296" s="79" t="s">
        <v>1427</v>
      </c>
      <c r="E296" s="80" t="s">
        <v>1428</v>
      </c>
      <c r="F296" s="79" t="s">
        <v>1429</v>
      </c>
      <c r="G296" s="79" t="s">
        <v>58</v>
      </c>
      <c r="H296" s="79"/>
    </row>
    <row r="297" customFormat="false" ht="15" hidden="false" customHeight="false" outlineLevel="0" collapsed="false">
      <c r="A297" s="79" t="n">
        <v>296</v>
      </c>
      <c r="B297" s="79" t="s">
        <v>5</v>
      </c>
      <c r="C297" s="79" t="s">
        <v>1430</v>
      </c>
      <c r="D297" s="79" t="s">
        <v>1431</v>
      </c>
      <c r="E297" s="80" t="s">
        <v>1432</v>
      </c>
      <c r="F297" s="79" t="s">
        <v>1433</v>
      </c>
      <c r="G297" s="79" t="s">
        <v>58</v>
      </c>
      <c r="H297" s="79"/>
    </row>
    <row r="298" customFormat="false" ht="15" hidden="false" customHeight="false" outlineLevel="0" collapsed="false">
      <c r="A298" s="79" t="n">
        <v>297</v>
      </c>
      <c r="B298" s="79" t="s">
        <v>5</v>
      </c>
      <c r="C298" s="79" t="s">
        <v>1434</v>
      </c>
      <c r="D298" s="79" t="s">
        <v>1435</v>
      </c>
      <c r="E298" s="80" t="s">
        <v>1436</v>
      </c>
      <c r="F298" s="79" t="s">
        <v>1437</v>
      </c>
      <c r="G298" s="79" t="s">
        <v>58</v>
      </c>
      <c r="H298" s="79"/>
    </row>
    <row r="299" customFormat="false" ht="15" hidden="false" customHeight="false" outlineLevel="0" collapsed="false">
      <c r="A299" s="79" t="n">
        <v>298</v>
      </c>
      <c r="B299" s="79" t="s">
        <v>5</v>
      </c>
      <c r="C299" s="79" t="s">
        <v>1438</v>
      </c>
      <c r="D299" s="79" t="s">
        <v>1439</v>
      </c>
      <c r="E299" s="80" t="s">
        <v>1440</v>
      </c>
      <c r="F299" s="79" t="s">
        <v>1441</v>
      </c>
      <c r="G299" s="79" t="s">
        <v>58</v>
      </c>
      <c r="H299" s="79"/>
    </row>
    <row r="300" customFormat="false" ht="15" hidden="false" customHeight="false" outlineLevel="0" collapsed="false">
      <c r="A300" s="79" t="n">
        <v>299</v>
      </c>
      <c r="B300" s="79" t="s">
        <v>5</v>
      </c>
      <c r="C300" s="79" t="s">
        <v>1442</v>
      </c>
      <c r="D300" s="79" t="s">
        <v>1443</v>
      </c>
      <c r="E300" s="80" t="s">
        <v>1444</v>
      </c>
      <c r="F300" s="79" t="s">
        <v>1445</v>
      </c>
      <c r="G300" s="79" t="s">
        <v>58</v>
      </c>
      <c r="H300" s="79"/>
    </row>
    <row r="301" customFormat="false" ht="15" hidden="false" customHeight="false" outlineLevel="0" collapsed="false">
      <c r="A301" s="79" t="n">
        <v>300</v>
      </c>
      <c r="B301" s="79" t="s">
        <v>5</v>
      </c>
      <c r="C301" s="79" t="s">
        <v>1446</v>
      </c>
      <c r="D301" s="79" t="s">
        <v>1447</v>
      </c>
      <c r="E301" s="80" t="s">
        <v>1448</v>
      </c>
      <c r="F301" s="79" t="s">
        <v>1449</v>
      </c>
      <c r="G301" s="79" t="s">
        <v>58</v>
      </c>
      <c r="H301" s="79"/>
    </row>
    <row r="302" customFormat="false" ht="15" hidden="false" customHeight="false" outlineLevel="0" collapsed="false">
      <c r="A302" s="79" t="n">
        <v>301</v>
      </c>
      <c r="B302" s="79" t="s">
        <v>5</v>
      </c>
      <c r="C302" s="79" t="s">
        <v>1450</v>
      </c>
      <c r="D302" s="79" t="s">
        <v>1451</v>
      </c>
      <c r="E302" s="80" t="s">
        <v>1452</v>
      </c>
      <c r="F302" s="79" t="s">
        <v>1453</v>
      </c>
      <c r="G302" s="79" t="s">
        <v>58</v>
      </c>
      <c r="H302" s="79"/>
    </row>
    <row r="303" customFormat="false" ht="15" hidden="false" customHeight="false" outlineLevel="0" collapsed="false">
      <c r="A303" s="79" t="n">
        <v>302</v>
      </c>
      <c r="B303" s="79" t="s">
        <v>5</v>
      </c>
      <c r="C303" s="79" t="s">
        <v>1454</v>
      </c>
      <c r="D303" s="79" t="s">
        <v>1455</v>
      </c>
      <c r="E303" s="80" t="s">
        <v>1456</v>
      </c>
      <c r="F303" s="79" t="s">
        <v>1457</v>
      </c>
      <c r="G303" s="79" t="s">
        <v>58</v>
      </c>
      <c r="H303" s="79"/>
    </row>
    <row r="304" customFormat="false" ht="15" hidden="false" customHeight="false" outlineLevel="0" collapsed="false">
      <c r="A304" s="79" t="n">
        <v>303</v>
      </c>
      <c r="B304" s="79" t="s">
        <v>5</v>
      </c>
      <c r="C304" s="79" t="s">
        <v>1458</v>
      </c>
      <c r="D304" s="79" t="s">
        <v>1459</v>
      </c>
      <c r="E304" s="80" t="s">
        <v>1460</v>
      </c>
      <c r="F304" s="79" t="s">
        <v>1461</v>
      </c>
      <c r="G304" s="79" t="s">
        <v>58</v>
      </c>
      <c r="H304" s="79"/>
    </row>
    <row r="305" customFormat="false" ht="15" hidden="false" customHeight="false" outlineLevel="0" collapsed="false">
      <c r="A305" s="79" t="n">
        <v>304</v>
      </c>
      <c r="B305" s="79" t="s">
        <v>5</v>
      </c>
      <c r="C305" s="79" t="s">
        <v>1462</v>
      </c>
      <c r="D305" s="79" t="s">
        <v>1463</v>
      </c>
      <c r="E305" s="80" t="s">
        <v>1464</v>
      </c>
      <c r="F305" s="79" t="s">
        <v>331</v>
      </c>
      <c r="G305" s="79" t="s">
        <v>58</v>
      </c>
      <c r="H305" s="79"/>
    </row>
    <row r="306" customFormat="false" ht="15" hidden="false" customHeight="false" outlineLevel="0" collapsed="false">
      <c r="A306" s="79" t="n">
        <v>305</v>
      </c>
      <c r="B306" s="79" t="s">
        <v>5</v>
      </c>
      <c r="C306" s="79" t="s">
        <v>1465</v>
      </c>
      <c r="D306" s="79" t="s">
        <v>1466</v>
      </c>
      <c r="E306" s="80" t="s">
        <v>1467</v>
      </c>
      <c r="F306" s="79" t="s">
        <v>1468</v>
      </c>
      <c r="G306" s="79" t="s">
        <v>58</v>
      </c>
      <c r="H306" s="79"/>
    </row>
    <row r="307" customFormat="false" ht="15" hidden="false" customHeight="false" outlineLevel="0" collapsed="false">
      <c r="A307" s="79" t="n">
        <v>306</v>
      </c>
      <c r="B307" s="79" t="s">
        <v>5</v>
      </c>
      <c r="C307" s="79" t="s">
        <v>1469</v>
      </c>
      <c r="D307" s="79" t="s">
        <v>1470</v>
      </c>
      <c r="E307" s="80" t="s">
        <v>1471</v>
      </c>
      <c r="F307" s="79" t="s">
        <v>1472</v>
      </c>
      <c r="G307" s="79" t="s">
        <v>58</v>
      </c>
      <c r="H307" s="79"/>
    </row>
    <row r="308" customFormat="false" ht="15" hidden="false" customHeight="false" outlineLevel="0" collapsed="false">
      <c r="A308" s="79" t="n">
        <v>307</v>
      </c>
      <c r="B308" s="79" t="s">
        <v>5</v>
      </c>
      <c r="C308" s="79" t="s">
        <v>1473</v>
      </c>
      <c r="D308" s="79" t="s">
        <v>1474</v>
      </c>
      <c r="E308" s="80" t="s">
        <v>1475</v>
      </c>
      <c r="F308" s="79" t="s">
        <v>1476</v>
      </c>
      <c r="G308" s="79" t="s">
        <v>58</v>
      </c>
      <c r="H308" s="79"/>
    </row>
    <row r="309" customFormat="false" ht="15" hidden="false" customHeight="false" outlineLevel="0" collapsed="false">
      <c r="A309" s="79" t="n">
        <v>308</v>
      </c>
      <c r="B309" s="79" t="s">
        <v>5</v>
      </c>
      <c r="C309" s="79" t="s">
        <v>1477</v>
      </c>
      <c r="D309" s="79" t="s">
        <v>1478</v>
      </c>
      <c r="E309" s="80" t="s">
        <v>1479</v>
      </c>
      <c r="F309" s="79" t="s">
        <v>1480</v>
      </c>
      <c r="G309" s="79" t="s">
        <v>58</v>
      </c>
      <c r="H309" s="79"/>
    </row>
    <row r="310" customFormat="false" ht="15" hidden="false" customHeight="false" outlineLevel="0" collapsed="false">
      <c r="A310" s="79" t="n">
        <v>309</v>
      </c>
      <c r="B310" s="79" t="s">
        <v>5</v>
      </c>
      <c r="C310" s="79" t="s">
        <v>1481</v>
      </c>
      <c r="D310" s="79" t="s">
        <v>1482</v>
      </c>
      <c r="E310" s="80" t="s">
        <v>1483</v>
      </c>
      <c r="F310" s="79" t="s">
        <v>1484</v>
      </c>
      <c r="G310" s="79" t="s">
        <v>58</v>
      </c>
      <c r="H310" s="79"/>
    </row>
    <row r="311" customFormat="false" ht="15" hidden="false" customHeight="false" outlineLevel="0" collapsed="false">
      <c r="A311" s="79" t="n">
        <v>310</v>
      </c>
      <c r="B311" s="79" t="s">
        <v>5</v>
      </c>
      <c r="C311" s="79" t="s">
        <v>1485</v>
      </c>
      <c r="D311" s="79" t="s">
        <v>1486</v>
      </c>
      <c r="E311" s="80" t="s">
        <v>1487</v>
      </c>
      <c r="F311" s="79" t="s">
        <v>1488</v>
      </c>
      <c r="G311" s="79" t="s">
        <v>60</v>
      </c>
      <c r="H311" s="79" t="s">
        <v>1489</v>
      </c>
    </row>
    <row r="312" customFormat="false" ht="15" hidden="false" customHeight="false" outlineLevel="0" collapsed="false">
      <c r="A312" s="79" t="n">
        <v>311</v>
      </c>
      <c r="B312" s="79" t="s">
        <v>5</v>
      </c>
      <c r="C312" s="79" t="s">
        <v>1490</v>
      </c>
      <c r="D312" s="79" t="s">
        <v>1491</v>
      </c>
      <c r="E312" s="80" t="s">
        <v>1492</v>
      </c>
      <c r="F312" s="79" t="s">
        <v>1493</v>
      </c>
      <c r="G312" s="79" t="s">
        <v>60</v>
      </c>
      <c r="H312" s="79"/>
    </row>
    <row r="313" customFormat="false" ht="15" hidden="false" customHeight="false" outlineLevel="0" collapsed="false">
      <c r="A313" s="79" t="n">
        <v>312</v>
      </c>
      <c r="B313" s="79" t="s">
        <v>5</v>
      </c>
      <c r="C313" s="79" t="s">
        <v>1494</v>
      </c>
      <c r="D313" s="79" t="s">
        <v>1495</v>
      </c>
      <c r="E313" s="80" t="s">
        <v>1496</v>
      </c>
      <c r="F313" s="79" t="s">
        <v>1497</v>
      </c>
      <c r="G313" s="79" t="s">
        <v>60</v>
      </c>
      <c r="H313" s="79"/>
    </row>
    <row r="314" customFormat="false" ht="15" hidden="false" customHeight="false" outlineLevel="0" collapsed="false">
      <c r="A314" s="79" t="n">
        <v>313</v>
      </c>
      <c r="B314" s="79" t="s">
        <v>5</v>
      </c>
      <c r="C314" s="79" t="s">
        <v>1498</v>
      </c>
      <c r="D314" s="79" t="s">
        <v>1499</v>
      </c>
      <c r="E314" s="80" t="s">
        <v>1500</v>
      </c>
      <c r="F314" s="79" t="s">
        <v>1501</v>
      </c>
      <c r="G314" s="79" t="s">
        <v>60</v>
      </c>
      <c r="H314" s="79" t="s">
        <v>1502</v>
      </c>
    </row>
    <row r="315" customFormat="false" ht="15" hidden="false" customHeight="false" outlineLevel="0" collapsed="false">
      <c r="A315" s="79" t="n">
        <v>314</v>
      </c>
      <c r="B315" s="79" t="s">
        <v>5</v>
      </c>
      <c r="C315" s="79" t="s">
        <v>1503</v>
      </c>
      <c r="D315" s="79" t="s">
        <v>1504</v>
      </c>
      <c r="E315" s="80" t="s">
        <v>1505</v>
      </c>
      <c r="F315" s="79" t="s">
        <v>1506</v>
      </c>
      <c r="G315" s="79" t="s">
        <v>60</v>
      </c>
      <c r="H315" s="79"/>
    </row>
    <row r="316" customFormat="false" ht="15" hidden="false" customHeight="false" outlineLevel="0" collapsed="false">
      <c r="A316" s="79" t="n">
        <v>315</v>
      </c>
      <c r="B316" s="79" t="s">
        <v>5</v>
      </c>
      <c r="C316" s="79" t="s">
        <v>1507</v>
      </c>
      <c r="D316" s="79" t="s">
        <v>1508</v>
      </c>
      <c r="E316" s="80" t="s">
        <v>1509</v>
      </c>
      <c r="F316" s="79" t="s">
        <v>1510</v>
      </c>
      <c r="G316" s="79" t="s">
        <v>60</v>
      </c>
      <c r="H316" s="79"/>
    </row>
    <row r="317" customFormat="false" ht="15" hidden="false" customHeight="false" outlineLevel="0" collapsed="false">
      <c r="A317" s="79" t="n">
        <v>316</v>
      </c>
      <c r="B317" s="79" t="s">
        <v>5</v>
      </c>
      <c r="C317" s="79" t="s">
        <v>1511</v>
      </c>
      <c r="D317" s="79" t="s">
        <v>1512</v>
      </c>
      <c r="E317" s="80" t="s">
        <v>1513</v>
      </c>
      <c r="F317" s="79" t="s">
        <v>1514</v>
      </c>
      <c r="G317" s="79" t="s">
        <v>60</v>
      </c>
      <c r="H317" s="79"/>
    </row>
    <row r="318" customFormat="false" ht="15" hidden="false" customHeight="false" outlineLevel="0" collapsed="false">
      <c r="A318" s="79" t="n">
        <v>317</v>
      </c>
      <c r="B318" s="79" t="s">
        <v>5</v>
      </c>
      <c r="C318" s="79" t="s">
        <v>1515</v>
      </c>
      <c r="D318" s="79" t="s">
        <v>1516</v>
      </c>
      <c r="E318" s="80" t="s">
        <v>1517</v>
      </c>
      <c r="F318" s="79" t="s">
        <v>1518</v>
      </c>
      <c r="G318" s="79" t="s">
        <v>60</v>
      </c>
      <c r="H318" s="79"/>
    </row>
    <row r="319" customFormat="false" ht="15" hidden="false" customHeight="false" outlineLevel="0" collapsed="false">
      <c r="A319" s="79" t="n">
        <v>318</v>
      </c>
      <c r="B319" s="79" t="s">
        <v>5</v>
      </c>
      <c r="C319" s="79" t="s">
        <v>1519</v>
      </c>
      <c r="D319" s="79" t="s">
        <v>1520</v>
      </c>
      <c r="E319" s="80" t="s">
        <v>1521</v>
      </c>
      <c r="F319" s="79" t="s">
        <v>1522</v>
      </c>
      <c r="G319" s="79" t="s">
        <v>60</v>
      </c>
      <c r="H319" s="79"/>
    </row>
    <row r="320" customFormat="false" ht="15" hidden="false" customHeight="false" outlineLevel="0" collapsed="false">
      <c r="A320" s="79" t="n">
        <v>319</v>
      </c>
      <c r="B320" s="79" t="s">
        <v>5</v>
      </c>
      <c r="C320" s="79" t="s">
        <v>1523</v>
      </c>
      <c r="D320" s="79" t="s">
        <v>1524</v>
      </c>
      <c r="E320" s="80" t="s">
        <v>1525</v>
      </c>
      <c r="F320" s="79" t="s">
        <v>1526</v>
      </c>
      <c r="G320" s="79" t="s">
        <v>60</v>
      </c>
      <c r="H320" s="79"/>
    </row>
    <row r="321" customFormat="false" ht="15" hidden="false" customHeight="false" outlineLevel="0" collapsed="false">
      <c r="A321" s="79" t="n">
        <v>320</v>
      </c>
      <c r="B321" s="79" t="s">
        <v>5</v>
      </c>
      <c r="C321" s="79" t="s">
        <v>1527</v>
      </c>
      <c r="D321" s="79" t="s">
        <v>1528</v>
      </c>
      <c r="E321" s="80" t="s">
        <v>1529</v>
      </c>
      <c r="F321" s="79" t="s">
        <v>1530</v>
      </c>
      <c r="G321" s="79" t="s">
        <v>60</v>
      </c>
      <c r="H321" s="79"/>
    </row>
    <row r="322" customFormat="false" ht="15" hidden="false" customHeight="false" outlineLevel="0" collapsed="false">
      <c r="A322" s="79" t="n">
        <v>321</v>
      </c>
      <c r="B322" s="79" t="s">
        <v>5</v>
      </c>
      <c r="C322" s="79" t="s">
        <v>1531</v>
      </c>
      <c r="D322" s="79" t="s">
        <v>1532</v>
      </c>
      <c r="E322" s="80" t="s">
        <v>1533</v>
      </c>
      <c r="F322" s="79" t="s">
        <v>1534</v>
      </c>
      <c r="G322" s="79" t="s">
        <v>60</v>
      </c>
      <c r="H322" s="79"/>
    </row>
    <row r="323" customFormat="false" ht="15" hidden="false" customHeight="false" outlineLevel="0" collapsed="false">
      <c r="A323" s="79" t="n">
        <v>322</v>
      </c>
      <c r="B323" s="79" t="s">
        <v>5</v>
      </c>
      <c r="C323" s="79" t="s">
        <v>1403</v>
      </c>
      <c r="D323" s="79" t="s">
        <v>1535</v>
      </c>
      <c r="E323" s="80" t="s">
        <v>1536</v>
      </c>
      <c r="F323" s="79" t="s">
        <v>1017</v>
      </c>
      <c r="G323" s="79" t="s">
        <v>60</v>
      </c>
      <c r="H323" s="79"/>
    </row>
    <row r="324" customFormat="false" ht="15" hidden="false" customHeight="false" outlineLevel="0" collapsed="false">
      <c r="A324" s="79" t="n">
        <v>323</v>
      </c>
      <c r="B324" s="79" t="s">
        <v>5</v>
      </c>
      <c r="C324" s="79" t="s">
        <v>1537</v>
      </c>
      <c r="D324" s="79" t="s">
        <v>1538</v>
      </c>
      <c r="E324" s="80" t="s">
        <v>1539</v>
      </c>
      <c r="F324" s="79" t="s">
        <v>1540</v>
      </c>
      <c r="G324" s="79" t="s">
        <v>60</v>
      </c>
      <c r="H324" s="79"/>
    </row>
    <row r="325" customFormat="false" ht="15" hidden="false" customHeight="false" outlineLevel="0" collapsed="false">
      <c r="A325" s="79" t="n">
        <v>324</v>
      </c>
      <c r="B325" s="79" t="s">
        <v>5</v>
      </c>
      <c r="C325" s="79" t="s">
        <v>1541</v>
      </c>
      <c r="D325" s="79" t="s">
        <v>1542</v>
      </c>
      <c r="E325" s="80" t="s">
        <v>1543</v>
      </c>
      <c r="F325" s="79" t="s">
        <v>1544</v>
      </c>
      <c r="G325" s="79" t="s">
        <v>60</v>
      </c>
      <c r="H325" s="79"/>
    </row>
    <row r="326" customFormat="false" ht="15" hidden="false" customHeight="false" outlineLevel="0" collapsed="false">
      <c r="A326" s="79" t="n">
        <v>325</v>
      </c>
      <c r="B326" s="79" t="s">
        <v>5</v>
      </c>
      <c r="C326" s="79" t="s">
        <v>1545</v>
      </c>
      <c r="D326" s="79" t="s">
        <v>1546</v>
      </c>
      <c r="E326" s="80" t="s">
        <v>1547</v>
      </c>
      <c r="F326" s="79" t="s">
        <v>1548</v>
      </c>
      <c r="G326" s="79" t="s">
        <v>60</v>
      </c>
      <c r="H326" s="79" t="s">
        <v>845</v>
      </c>
    </row>
    <row r="327" customFormat="false" ht="15" hidden="false" customHeight="false" outlineLevel="0" collapsed="false">
      <c r="A327" s="79" t="n">
        <v>326</v>
      </c>
      <c r="B327" s="79" t="s">
        <v>5</v>
      </c>
      <c r="C327" s="79" t="s">
        <v>1549</v>
      </c>
      <c r="D327" s="79" t="s">
        <v>1550</v>
      </c>
      <c r="E327" s="80" t="s">
        <v>1551</v>
      </c>
      <c r="F327" s="79" t="s">
        <v>1552</v>
      </c>
      <c r="G327" s="79" t="s">
        <v>60</v>
      </c>
      <c r="H327" s="79" t="s">
        <v>845</v>
      </c>
    </row>
    <row r="328" customFormat="false" ht="15" hidden="false" customHeight="false" outlineLevel="0" collapsed="false">
      <c r="A328" s="79" t="n">
        <v>327</v>
      </c>
      <c r="B328" s="79" t="s">
        <v>5</v>
      </c>
      <c r="C328" s="79" t="s">
        <v>1553</v>
      </c>
      <c r="D328" s="79" t="s">
        <v>1554</v>
      </c>
      <c r="E328" s="80" t="s">
        <v>1555</v>
      </c>
      <c r="F328" s="79" t="s">
        <v>1556</v>
      </c>
      <c r="G328" s="79" t="s">
        <v>60</v>
      </c>
      <c r="H328" s="79"/>
    </row>
    <row r="329" customFormat="false" ht="15" hidden="false" customHeight="false" outlineLevel="0" collapsed="false">
      <c r="A329" s="79" t="n">
        <v>328</v>
      </c>
      <c r="B329" s="79" t="s">
        <v>5</v>
      </c>
      <c r="C329" s="79" t="s">
        <v>1557</v>
      </c>
      <c r="D329" s="79" t="s">
        <v>1558</v>
      </c>
      <c r="E329" s="80" t="s">
        <v>1559</v>
      </c>
      <c r="F329" s="79" t="s">
        <v>1560</v>
      </c>
      <c r="G329" s="79" t="s">
        <v>60</v>
      </c>
      <c r="H329" s="79"/>
    </row>
    <row r="330" customFormat="false" ht="15" hidden="false" customHeight="false" outlineLevel="0" collapsed="false">
      <c r="A330" s="79" t="n">
        <v>329</v>
      </c>
      <c r="B330" s="79" t="s">
        <v>5</v>
      </c>
      <c r="C330" s="79" t="s">
        <v>1561</v>
      </c>
      <c r="D330" s="79" t="s">
        <v>1562</v>
      </c>
      <c r="E330" s="80" t="s">
        <v>1563</v>
      </c>
      <c r="F330" s="79" t="s">
        <v>1564</v>
      </c>
      <c r="G330" s="79" t="s">
        <v>60</v>
      </c>
      <c r="H330" s="79"/>
    </row>
    <row r="331" customFormat="false" ht="15" hidden="false" customHeight="false" outlineLevel="0" collapsed="false">
      <c r="A331" s="79" t="n">
        <v>330</v>
      </c>
      <c r="B331" s="79" t="s">
        <v>5</v>
      </c>
      <c r="C331" s="79" t="s">
        <v>1565</v>
      </c>
      <c r="D331" s="79" t="s">
        <v>1566</v>
      </c>
      <c r="E331" s="80" t="s">
        <v>1567</v>
      </c>
      <c r="F331" s="79" t="s">
        <v>1568</v>
      </c>
      <c r="G331" s="79" t="s">
        <v>60</v>
      </c>
      <c r="H331" s="79" t="s">
        <v>1569</v>
      </c>
    </row>
    <row r="332" customFormat="false" ht="15" hidden="false" customHeight="false" outlineLevel="0" collapsed="false">
      <c r="A332" s="79" t="n">
        <v>331</v>
      </c>
      <c r="B332" s="79" t="s">
        <v>5</v>
      </c>
      <c r="C332" s="79" t="s">
        <v>1570</v>
      </c>
      <c r="D332" s="79" t="s">
        <v>1571</v>
      </c>
      <c r="E332" s="80" t="s">
        <v>1572</v>
      </c>
      <c r="F332" s="79" t="s">
        <v>1573</v>
      </c>
      <c r="G332" s="79" t="s">
        <v>60</v>
      </c>
      <c r="H332" s="79"/>
    </row>
    <row r="333" customFormat="false" ht="15" hidden="false" customHeight="false" outlineLevel="0" collapsed="false">
      <c r="A333" s="79" t="n">
        <v>332</v>
      </c>
      <c r="B333" s="79" t="s">
        <v>5</v>
      </c>
      <c r="C333" s="79" t="s">
        <v>1574</v>
      </c>
      <c r="D333" s="79" t="s">
        <v>1575</v>
      </c>
      <c r="E333" s="80" t="s">
        <v>1576</v>
      </c>
      <c r="F333" s="79" t="s">
        <v>1577</v>
      </c>
      <c r="G333" s="79" t="s">
        <v>60</v>
      </c>
      <c r="H333" s="79" t="s">
        <v>845</v>
      </c>
    </row>
    <row r="334" customFormat="false" ht="15" hidden="false" customHeight="false" outlineLevel="0" collapsed="false">
      <c r="A334" s="79" t="n">
        <v>333</v>
      </c>
      <c r="B334" s="79" t="s">
        <v>5</v>
      </c>
      <c r="C334" s="79" t="s">
        <v>1578</v>
      </c>
      <c r="D334" s="79" t="s">
        <v>1579</v>
      </c>
      <c r="E334" s="80" t="s">
        <v>1580</v>
      </c>
      <c r="F334" s="79" t="s">
        <v>1137</v>
      </c>
      <c r="G334" s="79" t="s">
        <v>62</v>
      </c>
      <c r="H334" s="79"/>
    </row>
    <row r="335" customFormat="false" ht="15" hidden="false" customHeight="false" outlineLevel="0" collapsed="false">
      <c r="A335" s="79" t="n">
        <v>334</v>
      </c>
      <c r="B335" s="79" t="s">
        <v>5</v>
      </c>
      <c r="C335" s="79" t="s">
        <v>1581</v>
      </c>
      <c r="D335" s="79" t="s">
        <v>1582</v>
      </c>
      <c r="E335" s="80" t="s">
        <v>1583</v>
      </c>
      <c r="F335" s="79" t="s">
        <v>1584</v>
      </c>
      <c r="G335" s="79" t="s">
        <v>62</v>
      </c>
      <c r="H335" s="79"/>
    </row>
    <row r="336" customFormat="false" ht="15" hidden="false" customHeight="false" outlineLevel="0" collapsed="false">
      <c r="A336" s="79" t="n">
        <v>335</v>
      </c>
      <c r="B336" s="79" t="s">
        <v>5</v>
      </c>
      <c r="C336" s="79" t="s">
        <v>1585</v>
      </c>
      <c r="D336" s="79" t="s">
        <v>1586</v>
      </c>
      <c r="E336" s="80" t="s">
        <v>1587</v>
      </c>
      <c r="F336" s="79" t="s">
        <v>1588</v>
      </c>
      <c r="G336" s="79" t="s">
        <v>62</v>
      </c>
      <c r="H336" s="79"/>
    </row>
    <row r="337" customFormat="false" ht="15" hidden="false" customHeight="false" outlineLevel="0" collapsed="false">
      <c r="A337" s="79" t="n">
        <v>336</v>
      </c>
      <c r="B337" s="79" t="s">
        <v>5</v>
      </c>
      <c r="C337" s="79" t="s">
        <v>1589</v>
      </c>
      <c r="D337" s="79" t="s">
        <v>1590</v>
      </c>
      <c r="E337" s="80" t="s">
        <v>1591</v>
      </c>
      <c r="F337" s="79" t="s">
        <v>1592</v>
      </c>
      <c r="G337" s="79" t="s">
        <v>62</v>
      </c>
      <c r="H337" s="79"/>
    </row>
    <row r="338" customFormat="false" ht="15" hidden="false" customHeight="false" outlineLevel="0" collapsed="false">
      <c r="A338" s="79" t="n">
        <v>337</v>
      </c>
      <c r="B338" s="79" t="s">
        <v>5</v>
      </c>
      <c r="C338" s="79" t="s">
        <v>1593</v>
      </c>
      <c r="D338" s="79" t="s">
        <v>1594</v>
      </c>
      <c r="E338" s="80" t="s">
        <v>1595</v>
      </c>
      <c r="F338" s="79" t="s">
        <v>1596</v>
      </c>
      <c r="G338" s="79" t="s">
        <v>62</v>
      </c>
      <c r="H338" s="79"/>
    </row>
    <row r="339" customFormat="false" ht="15" hidden="false" customHeight="false" outlineLevel="0" collapsed="false">
      <c r="A339" s="79" t="n">
        <v>338</v>
      </c>
      <c r="B339" s="79" t="s">
        <v>5</v>
      </c>
      <c r="C339" s="79" t="s">
        <v>1597</v>
      </c>
      <c r="D339" s="79" t="s">
        <v>1598</v>
      </c>
      <c r="E339" s="80" t="s">
        <v>1599</v>
      </c>
      <c r="F339" s="79" t="s">
        <v>1600</v>
      </c>
      <c r="G339" s="79" t="s">
        <v>62</v>
      </c>
      <c r="H339" s="79"/>
    </row>
    <row r="340" customFormat="false" ht="15" hidden="false" customHeight="false" outlineLevel="0" collapsed="false">
      <c r="A340" s="79" t="n">
        <v>339</v>
      </c>
      <c r="B340" s="79" t="s">
        <v>5</v>
      </c>
      <c r="C340" s="79" t="s">
        <v>1601</v>
      </c>
      <c r="D340" s="79" t="s">
        <v>1602</v>
      </c>
      <c r="E340" s="80" t="s">
        <v>1603</v>
      </c>
      <c r="F340" s="79" t="s">
        <v>1604</v>
      </c>
      <c r="G340" s="79" t="s">
        <v>62</v>
      </c>
      <c r="H340" s="79"/>
    </row>
    <row r="341" customFormat="false" ht="15" hidden="false" customHeight="false" outlineLevel="0" collapsed="false">
      <c r="A341" s="79" t="n">
        <v>340</v>
      </c>
      <c r="B341" s="79" t="s">
        <v>5</v>
      </c>
      <c r="C341" s="79" t="s">
        <v>1605</v>
      </c>
      <c r="D341" s="79" t="s">
        <v>1606</v>
      </c>
      <c r="E341" s="80" t="s">
        <v>1607</v>
      </c>
      <c r="F341" s="79" t="s">
        <v>1608</v>
      </c>
      <c r="G341" s="79" t="s">
        <v>62</v>
      </c>
      <c r="H341" s="79"/>
    </row>
    <row r="342" customFormat="false" ht="15" hidden="false" customHeight="false" outlineLevel="0" collapsed="false">
      <c r="A342" s="79" t="n">
        <v>341</v>
      </c>
      <c r="B342" s="79" t="s">
        <v>5</v>
      </c>
      <c r="C342" s="79" t="s">
        <v>1609</v>
      </c>
      <c r="D342" s="79" t="s">
        <v>1610</v>
      </c>
      <c r="E342" s="80" t="s">
        <v>1611</v>
      </c>
      <c r="F342" s="79" t="s">
        <v>1612</v>
      </c>
      <c r="G342" s="79" t="s">
        <v>62</v>
      </c>
      <c r="H342" s="79" t="s">
        <v>845</v>
      </c>
    </row>
    <row r="343" customFormat="false" ht="15" hidden="false" customHeight="false" outlineLevel="0" collapsed="false">
      <c r="A343" s="79" t="n">
        <v>342</v>
      </c>
      <c r="B343" s="79" t="s">
        <v>5</v>
      </c>
      <c r="C343" s="79" t="s">
        <v>1613</v>
      </c>
      <c r="D343" s="79" t="s">
        <v>1614</v>
      </c>
      <c r="E343" s="80" t="s">
        <v>1615</v>
      </c>
      <c r="F343" s="79" t="s">
        <v>1616</v>
      </c>
      <c r="G343" s="79" t="s">
        <v>62</v>
      </c>
      <c r="H343" s="79"/>
    </row>
    <row r="344" customFormat="false" ht="15" hidden="false" customHeight="false" outlineLevel="0" collapsed="false">
      <c r="A344" s="79" t="n">
        <v>343</v>
      </c>
      <c r="B344" s="79" t="s">
        <v>5</v>
      </c>
      <c r="C344" s="79" t="s">
        <v>1617</v>
      </c>
      <c r="D344" s="79" t="s">
        <v>1618</v>
      </c>
      <c r="E344" s="80" t="s">
        <v>1619</v>
      </c>
      <c r="F344" s="79" t="s">
        <v>1620</v>
      </c>
      <c r="G344" s="79" t="s">
        <v>62</v>
      </c>
      <c r="H344" s="79"/>
    </row>
    <row r="345" customFormat="false" ht="15" hidden="false" customHeight="false" outlineLevel="0" collapsed="false">
      <c r="A345" s="79" t="n">
        <v>344</v>
      </c>
      <c r="B345" s="79" t="s">
        <v>5</v>
      </c>
      <c r="C345" s="79" t="s">
        <v>1621</v>
      </c>
      <c r="D345" s="79" t="s">
        <v>1622</v>
      </c>
      <c r="E345" s="80" t="s">
        <v>1623</v>
      </c>
      <c r="F345" s="79" t="s">
        <v>1624</v>
      </c>
      <c r="G345" s="79" t="s">
        <v>62</v>
      </c>
      <c r="H345" s="79" t="s">
        <v>845</v>
      </c>
    </row>
    <row r="346" customFormat="false" ht="15" hidden="false" customHeight="false" outlineLevel="0" collapsed="false">
      <c r="A346" s="79" t="n">
        <v>345</v>
      </c>
      <c r="B346" s="79" t="s">
        <v>5</v>
      </c>
      <c r="C346" s="79" t="s">
        <v>1625</v>
      </c>
      <c r="D346" s="79" t="s">
        <v>1626</v>
      </c>
      <c r="E346" s="80" t="s">
        <v>1627</v>
      </c>
      <c r="F346" s="79" t="s">
        <v>1628</v>
      </c>
      <c r="G346" s="79" t="s">
        <v>62</v>
      </c>
      <c r="H346" s="79"/>
    </row>
    <row r="347" customFormat="false" ht="15" hidden="false" customHeight="false" outlineLevel="0" collapsed="false">
      <c r="A347" s="79" t="n">
        <v>346</v>
      </c>
      <c r="B347" s="79" t="s">
        <v>5</v>
      </c>
      <c r="C347" s="79" t="s">
        <v>1629</v>
      </c>
      <c r="D347" s="79" t="s">
        <v>1630</v>
      </c>
      <c r="E347" s="80" t="s">
        <v>1631</v>
      </c>
      <c r="F347" s="79" t="s">
        <v>1632</v>
      </c>
      <c r="G347" s="79" t="s">
        <v>62</v>
      </c>
      <c r="H347" s="79"/>
    </row>
    <row r="348" customFormat="false" ht="15" hidden="false" customHeight="false" outlineLevel="0" collapsed="false">
      <c r="A348" s="79" t="n">
        <v>347</v>
      </c>
      <c r="B348" s="79" t="s">
        <v>5</v>
      </c>
      <c r="C348" s="79" t="s">
        <v>1633</v>
      </c>
      <c r="D348" s="79" t="s">
        <v>1634</v>
      </c>
      <c r="E348" s="80" t="s">
        <v>1635</v>
      </c>
      <c r="F348" s="79" t="s">
        <v>1636</v>
      </c>
      <c r="G348" s="79" t="s">
        <v>62</v>
      </c>
      <c r="H348" s="79" t="s">
        <v>845</v>
      </c>
    </row>
    <row r="349" customFormat="false" ht="15" hidden="false" customHeight="false" outlineLevel="0" collapsed="false">
      <c r="A349" s="79" t="n">
        <v>348</v>
      </c>
      <c r="B349" s="79" t="s">
        <v>5</v>
      </c>
      <c r="C349" s="79" t="s">
        <v>1637</v>
      </c>
      <c r="D349" s="79" t="s">
        <v>1638</v>
      </c>
      <c r="E349" s="80" t="s">
        <v>1639</v>
      </c>
      <c r="F349" s="79" t="s">
        <v>1640</v>
      </c>
      <c r="G349" s="79" t="s">
        <v>62</v>
      </c>
      <c r="H349" s="79" t="s">
        <v>845</v>
      </c>
    </row>
    <row r="350" customFormat="false" ht="15" hidden="false" customHeight="false" outlineLevel="0" collapsed="false">
      <c r="A350" s="79" t="n">
        <v>349</v>
      </c>
      <c r="B350" s="79" t="s">
        <v>5</v>
      </c>
      <c r="C350" s="79" t="s">
        <v>1641</v>
      </c>
      <c r="D350" s="79" t="s">
        <v>1642</v>
      </c>
      <c r="E350" s="80" t="s">
        <v>1643</v>
      </c>
      <c r="F350" s="79" t="s">
        <v>1644</v>
      </c>
      <c r="G350" s="79" t="s">
        <v>62</v>
      </c>
      <c r="H350" s="79" t="s">
        <v>845</v>
      </c>
    </row>
    <row r="351" customFormat="false" ht="15" hidden="false" customHeight="false" outlineLevel="0" collapsed="false">
      <c r="A351" s="79" t="n">
        <v>350</v>
      </c>
      <c r="B351" s="79" t="s">
        <v>5</v>
      </c>
      <c r="C351" s="79" t="s">
        <v>1645</v>
      </c>
      <c r="D351" s="79" t="s">
        <v>1646</v>
      </c>
      <c r="E351" s="80" t="s">
        <v>1647</v>
      </c>
      <c r="F351" s="79" t="s">
        <v>1648</v>
      </c>
      <c r="G351" s="79" t="s">
        <v>62</v>
      </c>
      <c r="H351" s="79" t="s">
        <v>845</v>
      </c>
    </row>
    <row r="352" customFormat="false" ht="15" hidden="false" customHeight="false" outlineLevel="0" collapsed="false">
      <c r="A352" s="79" t="n">
        <v>351</v>
      </c>
      <c r="B352" s="79" t="s">
        <v>5</v>
      </c>
      <c r="C352" s="79" t="s">
        <v>1649</v>
      </c>
      <c r="D352" s="79" t="s">
        <v>1650</v>
      </c>
      <c r="E352" s="80" t="s">
        <v>1651</v>
      </c>
      <c r="F352" s="79" t="s">
        <v>1652</v>
      </c>
      <c r="G352" s="79" t="s">
        <v>62</v>
      </c>
      <c r="H352" s="79" t="s">
        <v>845</v>
      </c>
    </row>
    <row r="353" customFormat="false" ht="15" hidden="false" customHeight="false" outlineLevel="0" collapsed="false">
      <c r="A353" s="79" t="n">
        <v>352</v>
      </c>
      <c r="B353" s="79" t="s">
        <v>5</v>
      </c>
      <c r="C353" s="79" t="s">
        <v>1653</v>
      </c>
      <c r="D353" s="79" t="s">
        <v>1654</v>
      </c>
      <c r="E353" s="80" t="s">
        <v>1655</v>
      </c>
      <c r="F353" s="79" t="s">
        <v>1656</v>
      </c>
      <c r="G353" s="79" t="s">
        <v>62</v>
      </c>
      <c r="H353" s="79" t="s">
        <v>845</v>
      </c>
    </row>
    <row r="354" customFormat="false" ht="15" hidden="false" customHeight="false" outlineLevel="0" collapsed="false">
      <c r="A354" s="79" t="n">
        <v>353</v>
      </c>
      <c r="B354" s="79" t="s">
        <v>5</v>
      </c>
      <c r="C354" s="79" t="s">
        <v>1657</v>
      </c>
      <c r="D354" s="79" t="s">
        <v>1658</v>
      </c>
      <c r="E354" s="80" t="s">
        <v>1659</v>
      </c>
      <c r="F354" s="79" t="s">
        <v>1660</v>
      </c>
      <c r="G354" s="79" t="s">
        <v>62</v>
      </c>
      <c r="H354" s="79" t="s">
        <v>845</v>
      </c>
    </row>
    <row r="355" customFormat="false" ht="15" hidden="false" customHeight="false" outlineLevel="0" collapsed="false">
      <c r="A355" s="79" t="n">
        <v>354</v>
      </c>
      <c r="B355" s="79" t="s">
        <v>5</v>
      </c>
      <c r="C355" s="79" t="s">
        <v>1661</v>
      </c>
      <c r="D355" s="79" t="s">
        <v>1662</v>
      </c>
      <c r="E355" s="80" t="s">
        <v>1663</v>
      </c>
      <c r="F355" s="79" t="s">
        <v>832</v>
      </c>
      <c r="G355" s="79" t="s">
        <v>62</v>
      </c>
      <c r="H355" s="79"/>
    </row>
    <row r="356" customFormat="false" ht="15" hidden="false" customHeight="false" outlineLevel="0" collapsed="false">
      <c r="A356" s="79" t="n">
        <v>355</v>
      </c>
      <c r="B356" s="79" t="s">
        <v>5</v>
      </c>
      <c r="C356" s="79" t="s">
        <v>1664</v>
      </c>
      <c r="D356" s="79" t="s">
        <v>1665</v>
      </c>
      <c r="E356" s="80" t="s">
        <v>1666</v>
      </c>
      <c r="F356" s="79" t="s">
        <v>1667</v>
      </c>
      <c r="G356" s="79" t="s">
        <v>62</v>
      </c>
      <c r="H356" s="79"/>
    </row>
    <row r="357" customFormat="false" ht="15" hidden="false" customHeight="false" outlineLevel="0" collapsed="false">
      <c r="A357" s="79" t="n">
        <v>356</v>
      </c>
      <c r="B357" s="79" t="s">
        <v>5</v>
      </c>
      <c r="C357" s="79" t="s">
        <v>1668</v>
      </c>
      <c r="D357" s="79" t="s">
        <v>1669</v>
      </c>
      <c r="E357" s="80" t="s">
        <v>1670</v>
      </c>
      <c r="F357" s="79" t="s">
        <v>1671</v>
      </c>
      <c r="G357" s="79" t="s">
        <v>62</v>
      </c>
      <c r="H357" s="79"/>
    </row>
    <row r="358" customFormat="false" ht="15" hidden="false" customHeight="false" outlineLevel="0" collapsed="false">
      <c r="A358" s="79" t="n">
        <v>357</v>
      </c>
      <c r="B358" s="79" t="s">
        <v>5</v>
      </c>
      <c r="C358" s="79" t="s">
        <v>1672</v>
      </c>
      <c r="D358" s="79" t="s">
        <v>1673</v>
      </c>
      <c r="E358" s="80" t="s">
        <v>1674</v>
      </c>
      <c r="F358" s="79" t="s">
        <v>1675</v>
      </c>
      <c r="G358" s="79" t="s">
        <v>62</v>
      </c>
      <c r="H358" s="79"/>
    </row>
    <row r="359" customFormat="false" ht="15" hidden="false" customHeight="false" outlineLevel="0" collapsed="false">
      <c r="A359" s="79" t="n">
        <v>358</v>
      </c>
      <c r="B359" s="79" t="s">
        <v>5</v>
      </c>
      <c r="C359" s="79" t="s">
        <v>1676</v>
      </c>
      <c r="D359" s="79" t="s">
        <v>1677</v>
      </c>
      <c r="E359" s="80" t="s">
        <v>1678</v>
      </c>
      <c r="F359" s="79" t="s">
        <v>1679</v>
      </c>
      <c r="G359" s="79" t="s">
        <v>62</v>
      </c>
      <c r="H359" s="79"/>
    </row>
    <row r="360" customFormat="false" ht="15" hidden="false" customHeight="false" outlineLevel="0" collapsed="false">
      <c r="A360" s="79" t="n">
        <v>359</v>
      </c>
      <c r="B360" s="79" t="s">
        <v>5</v>
      </c>
      <c r="C360" s="79" t="s">
        <v>1680</v>
      </c>
      <c r="D360" s="79" t="s">
        <v>1681</v>
      </c>
      <c r="E360" s="80" t="s">
        <v>1682</v>
      </c>
      <c r="F360" s="79" t="s">
        <v>1683</v>
      </c>
      <c r="G360" s="79" t="s">
        <v>62</v>
      </c>
      <c r="H360" s="79" t="s">
        <v>845</v>
      </c>
    </row>
    <row r="361" customFormat="false" ht="15" hidden="false" customHeight="false" outlineLevel="0" collapsed="false">
      <c r="A361" s="79" t="n">
        <v>360</v>
      </c>
      <c r="B361" s="79" t="s">
        <v>5</v>
      </c>
      <c r="C361" s="79" t="s">
        <v>1684</v>
      </c>
      <c r="D361" s="79" t="s">
        <v>1685</v>
      </c>
      <c r="E361" s="80" t="s">
        <v>1686</v>
      </c>
      <c r="F361" s="79" t="s">
        <v>1687</v>
      </c>
      <c r="G361" s="79" t="s">
        <v>62</v>
      </c>
      <c r="H361" s="79" t="s">
        <v>845</v>
      </c>
    </row>
    <row r="362" customFormat="false" ht="15" hidden="false" customHeight="false" outlineLevel="0" collapsed="false">
      <c r="A362" s="79" t="n">
        <v>361</v>
      </c>
      <c r="B362" s="79" t="s">
        <v>5</v>
      </c>
      <c r="C362" s="79" t="s">
        <v>1688</v>
      </c>
      <c r="D362" s="79" t="s">
        <v>1689</v>
      </c>
      <c r="E362" s="80" t="s">
        <v>1690</v>
      </c>
      <c r="F362" s="79" t="s">
        <v>864</v>
      </c>
      <c r="G362" s="79" t="s">
        <v>62</v>
      </c>
      <c r="H362" s="79" t="s">
        <v>845</v>
      </c>
    </row>
    <row r="363" customFormat="false" ht="15" hidden="false" customHeight="false" outlineLevel="0" collapsed="false">
      <c r="A363" s="79" t="n">
        <v>362</v>
      </c>
      <c r="B363" s="79" t="s">
        <v>5</v>
      </c>
      <c r="C363" s="79" t="s">
        <v>1691</v>
      </c>
      <c r="D363" s="79" t="s">
        <v>1692</v>
      </c>
      <c r="E363" s="80" t="s">
        <v>1693</v>
      </c>
      <c r="F363" s="79" t="s">
        <v>1694</v>
      </c>
      <c r="G363" s="79" t="s">
        <v>62</v>
      </c>
      <c r="H363" s="79" t="s">
        <v>845</v>
      </c>
    </row>
    <row r="364" customFormat="false" ht="15" hidden="false" customHeight="false" outlineLevel="0" collapsed="false">
      <c r="A364" s="79" t="n">
        <v>363</v>
      </c>
      <c r="B364" s="79" t="s">
        <v>5</v>
      </c>
      <c r="C364" s="79" t="s">
        <v>1695</v>
      </c>
      <c r="D364" s="79" t="s">
        <v>1696</v>
      </c>
      <c r="E364" s="80" t="s">
        <v>1697</v>
      </c>
      <c r="F364" s="79" t="s">
        <v>1698</v>
      </c>
      <c r="G364" s="79" t="s">
        <v>62</v>
      </c>
      <c r="H364" s="79" t="s">
        <v>845</v>
      </c>
    </row>
    <row r="365" customFormat="false" ht="15" hidden="false" customHeight="false" outlineLevel="0" collapsed="false">
      <c r="A365" s="79" t="n">
        <v>364</v>
      </c>
      <c r="B365" s="79" t="s">
        <v>5</v>
      </c>
      <c r="C365" s="79" t="s">
        <v>1699</v>
      </c>
      <c r="D365" s="79" t="s">
        <v>1700</v>
      </c>
      <c r="E365" s="80" t="s">
        <v>1701</v>
      </c>
      <c r="F365" s="79" t="s">
        <v>1702</v>
      </c>
      <c r="G365" s="79" t="s">
        <v>62</v>
      </c>
      <c r="H365" s="79"/>
    </row>
    <row r="366" customFormat="false" ht="15" hidden="false" customHeight="false" outlineLevel="0" collapsed="false">
      <c r="A366" s="79" t="n">
        <v>365</v>
      </c>
      <c r="B366" s="79" t="s">
        <v>5</v>
      </c>
      <c r="C366" s="79" t="s">
        <v>1703</v>
      </c>
      <c r="D366" s="79" t="s">
        <v>1704</v>
      </c>
      <c r="E366" s="80" t="s">
        <v>1705</v>
      </c>
      <c r="F366" s="79" t="s">
        <v>1706</v>
      </c>
      <c r="G366" s="79" t="s">
        <v>62</v>
      </c>
      <c r="H366" s="79"/>
    </row>
    <row r="367" customFormat="false" ht="15" hidden="false" customHeight="false" outlineLevel="0" collapsed="false">
      <c r="A367" s="79" t="n">
        <v>366</v>
      </c>
      <c r="B367" s="79" t="s">
        <v>5</v>
      </c>
      <c r="C367" s="79" t="s">
        <v>1707</v>
      </c>
      <c r="D367" s="79" t="s">
        <v>1708</v>
      </c>
      <c r="E367" s="80" t="s">
        <v>1709</v>
      </c>
      <c r="F367" s="79" t="s">
        <v>1710</v>
      </c>
      <c r="G367" s="79" t="s">
        <v>62</v>
      </c>
      <c r="H367" s="79"/>
    </row>
    <row r="368" customFormat="false" ht="15" hidden="false" customHeight="false" outlineLevel="0" collapsed="false">
      <c r="A368" s="79" t="n">
        <v>367</v>
      </c>
      <c r="B368" s="79" t="s">
        <v>5</v>
      </c>
      <c r="C368" s="79" t="s">
        <v>1711</v>
      </c>
      <c r="D368" s="79" t="s">
        <v>1712</v>
      </c>
      <c r="E368" s="80" t="s">
        <v>1713</v>
      </c>
      <c r="F368" s="79" t="s">
        <v>1714</v>
      </c>
      <c r="G368" s="79" t="s">
        <v>62</v>
      </c>
      <c r="H368" s="79" t="s">
        <v>1715</v>
      </c>
    </row>
    <row r="369" customFormat="false" ht="15" hidden="false" customHeight="false" outlineLevel="0" collapsed="false">
      <c r="A369" s="79" t="n">
        <v>368</v>
      </c>
      <c r="B369" s="79" t="s">
        <v>5</v>
      </c>
      <c r="C369" s="79" t="s">
        <v>1716</v>
      </c>
      <c r="D369" s="79" t="s">
        <v>1717</v>
      </c>
      <c r="E369" s="80" t="s">
        <v>1718</v>
      </c>
      <c r="F369" s="79" t="s">
        <v>1719</v>
      </c>
      <c r="G369" s="79" t="s">
        <v>62</v>
      </c>
      <c r="H369" s="79"/>
    </row>
    <row r="370" customFormat="false" ht="15" hidden="false" customHeight="false" outlineLevel="0" collapsed="false">
      <c r="A370" s="79" t="n">
        <v>369</v>
      </c>
      <c r="B370" s="79" t="s">
        <v>5</v>
      </c>
      <c r="C370" s="79" t="s">
        <v>1720</v>
      </c>
      <c r="D370" s="79" t="s">
        <v>1721</v>
      </c>
      <c r="E370" s="80" t="s">
        <v>1722</v>
      </c>
      <c r="F370" s="79" t="s">
        <v>1723</v>
      </c>
      <c r="G370" s="79" t="s">
        <v>64</v>
      </c>
      <c r="H370" s="79" t="s">
        <v>845</v>
      </c>
    </row>
    <row r="371" customFormat="false" ht="15" hidden="false" customHeight="false" outlineLevel="0" collapsed="false">
      <c r="A371" s="79" t="n">
        <v>370</v>
      </c>
      <c r="B371" s="79" t="s">
        <v>5</v>
      </c>
      <c r="C371" s="79" t="s">
        <v>1724</v>
      </c>
      <c r="D371" s="79" t="s">
        <v>1725</v>
      </c>
      <c r="E371" s="80" t="s">
        <v>1726</v>
      </c>
      <c r="F371" s="79" t="s">
        <v>1727</v>
      </c>
      <c r="G371" s="79" t="s">
        <v>64</v>
      </c>
      <c r="H371" s="79"/>
    </row>
    <row r="372" customFormat="false" ht="15" hidden="false" customHeight="false" outlineLevel="0" collapsed="false">
      <c r="A372" s="79" t="n">
        <v>371</v>
      </c>
      <c r="B372" s="79" t="s">
        <v>5</v>
      </c>
      <c r="C372" s="79" t="s">
        <v>1728</v>
      </c>
      <c r="D372" s="79" t="s">
        <v>1729</v>
      </c>
      <c r="E372" s="80" t="s">
        <v>1730</v>
      </c>
      <c r="F372" s="79" t="s">
        <v>1731</v>
      </c>
      <c r="G372" s="79" t="s">
        <v>64</v>
      </c>
      <c r="H372" s="79"/>
    </row>
    <row r="373" customFormat="false" ht="15" hidden="false" customHeight="false" outlineLevel="0" collapsed="false">
      <c r="A373" s="79" t="n">
        <v>372</v>
      </c>
      <c r="B373" s="79" t="s">
        <v>5</v>
      </c>
      <c r="C373" s="79" t="s">
        <v>1732</v>
      </c>
      <c r="D373" s="79" t="s">
        <v>1733</v>
      </c>
      <c r="E373" s="80" t="s">
        <v>1734</v>
      </c>
      <c r="F373" s="79" t="s">
        <v>1735</v>
      </c>
      <c r="G373" s="79" t="s">
        <v>64</v>
      </c>
      <c r="H373" s="79"/>
    </row>
    <row r="374" customFormat="false" ht="15" hidden="false" customHeight="false" outlineLevel="0" collapsed="false">
      <c r="A374" s="79" t="n">
        <v>373</v>
      </c>
      <c r="B374" s="79" t="s">
        <v>5</v>
      </c>
      <c r="C374" s="79" t="s">
        <v>1736</v>
      </c>
      <c r="D374" s="79" t="s">
        <v>1737</v>
      </c>
      <c r="E374" s="80" t="s">
        <v>1738</v>
      </c>
      <c r="F374" s="79" t="s">
        <v>1739</v>
      </c>
      <c r="G374" s="79" t="s">
        <v>64</v>
      </c>
      <c r="H374" s="79"/>
    </row>
    <row r="375" customFormat="false" ht="15" hidden="false" customHeight="false" outlineLevel="0" collapsed="false">
      <c r="A375" s="79" t="n">
        <v>374</v>
      </c>
      <c r="B375" s="79" t="s">
        <v>5</v>
      </c>
      <c r="C375" s="79" t="s">
        <v>1740</v>
      </c>
      <c r="D375" s="79" t="s">
        <v>1741</v>
      </c>
      <c r="E375" s="80" t="s">
        <v>1742</v>
      </c>
      <c r="F375" s="79" t="s">
        <v>509</v>
      </c>
      <c r="G375" s="79" t="s">
        <v>64</v>
      </c>
      <c r="H375" s="79"/>
    </row>
    <row r="376" customFormat="false" ht="15" hidden="false" customHeight="false" outlineLevel="0" collapsed="false">
      <c r="A376" s="79" t="n">
        <v>375</v>
      </c>
      <c r="B376" s="79" t="s">
        <v>5</v>
      </c>
      <c r="C376" s="79" t="s">
        <v>1743</v>
      </c>
      <c r="D376" s="79" t="s">
        <v>1744</v>
      </c>
      <c r="E376" s="80" t="s">
        <v>1745</v>
      </c>
      <c r="F376" s="79" t="s">
        <v>390</v>
      </c>
      <c r="G376" s="79" t="s">
        <v>64</v>
      </c>
      <c r="H376" s="79"/>
    </row>
    <row r="377" customFormat="false" ht="15" hidden="false" customHeight="false" outlineLevel="0" collapsed="false">
      <c r="A377" s="79" t="n">
        <v>376</v>
      </c>
      <c r="B377" s="79" t="s">
        <v>5</v>
      </c>
      <c r="C377" s="79" t="s">
        <v>1746</v>
      </c>
      <c r="D377" s="79" t="s">
        <v>1747</v>
      </c>
      <c r="E377" s="80" t="s">
        <v>1748</v>
      </c>
      <c r="F377" s="79" t="s">
        <v>1749</v>
      </c>
      <c r="G377" s="79" t="s">
        <v>64</v>
      </c>
      <c r="H377" s="79"/>
    </row>
    <row r="378" customFormat="false" ht="15" hidden="false" customHeight="false" outlineLevel="0" collapsed="false">
      <c r="A378" s="79" t="n">
        <v>377</v>
      </c>
      <c r="B378" s="79" t="s">
        <v>5</v>
      </c>
      <c r="C378" s="79" t="s">
        <v>1750</v>
      </c>
      <c r="D378" s="79" t="s">
        <v>1751</v>
      </c>
      <c r="E378" s="80" t="s">
        <v>1752</v>
      </c>
      <c r="F378" s="79" t="s">
        <v>1753</v>
      </c>
      <c r="G378" s="79" t="s">
        <v>64</v>
      </c>
      <c r="H378" s="79"/>
    </row>
    <row r="379" customFormat="false" ht="15" hidden="false" customHeight="false" outlineLevel="0" collapsed="false">
      <c r="A379" s="79" t="n">
        <v>378</v>
      </c>
      <c r="B379" s="79" t="s">
        <v>5</v>
      </c>
      <c r="C379" s="79" t="s">
        <v>1754</v>
      </c>
      <c r="D379" s="79" t="s">
        <v>1755</v>
      </c>
      <c r="E379" s="80" t="s">
        <v>1756</v>
      </c>
      <c r="F379" s="79" t="s">
        <v>1757</v>
      </c>
      <c r="G379" s="79" t="s">
        <v>64</v>
      </c>
      <c r="H379" s="79"/>
    </row>
    <row r="380" customFormat="false" ht="15" hidden="false" customHeight="false" outlineLevel="0" collapsed="false">
      <c r="A380" s="79" t="n">
        <v>379</v>
      </c>
      <c r="B380" s="79" t="s">
        <v>5</v>
      </c>
      <c r="C380" s="79" t="s">
        <v>1758</v>
      </c>
      <c r="D380" s="79" t="s">
        <v>1759</v>
      </c>
      <c r="E380" s="80" t="s">
        <v>1760</v>
      </c>
      <c r="F380" s="79" t="s">
        <v>506</v>
      </c>
      <c r="G380" s="79" t="s">
        <v>64</v>
      </c>
      <c r="H380" s="79"/>
    </row>
    <row r="381" customFormat="false" ht="15" hidden="false" customHeight="false" outlineLevel="0" collapsed="false">
      <c r="A381" s="79" t="n">
        <v>380</v>
      </c>
      <c r="B381" s="79" t="s">
        <v>5</v>
      </c>
      <c r="C381" s="79" t="s">
        <v>1761</v>
      </c>
      <c r="D381" s="79" t="s">
        <v>1762</v>
      </c>
      <c r="E381" s="80" t="s">
        <v>1763</v>
      </c>
      <c r="F381" s="79" t="s">
        <v>1764</v>
      </c>
      <c r="G381" s="79" t="s">
        <v>64</v>
      </c>
      <c r="H381" s="79"/>
    </row>
    <row r="382" customFormat="false" ht="15" hidden="false" customHeight="false" outlineLevel="0" collapsed="false">
      <c r="A382" s="79" t="n">
        <v>381</v>
      </c>
      <c r="B382" s="79" t="s">
        <v>5</v>
      </c>
      <c r="C382" s="79" t="s">
        <v>1765</v>
      </c>
      <c r="D382" s="79" t="s">
        <v>1766</v>
      </c>
      <c r="E382" s="80" t="s">
        <v>1767</v>
      </c>
      <c r="F382" s="79" t="s">
        <v>1768</v>
      </c>
      <c r="G382" s="79" t="s">
        <v>64</v>
      </c>
      <c r="H382" s="79"/>
    </row>
    <row r="383" customFormat="false" ht="15" hidden="false" customHeight="false" outlineLevel="0" collapsed="false">
      <c r="A383" s="79" t="n">
        <v>382</v>
      </c>
      <c r="B383" s="79" t="s">
        <v>5</v>
      </c>
      <c r="C383" s="79" t="s">
        <v>1769</v>
      </c>
      <c r="D383" s="79" t="s">
        <v>1770</v>
      </c>
      <c r="E383" s="80" t="s">
        <v>1771</v>
      </c>
      <c r="F383" s="79" t="s">
        <v>1772</v>
      </c>
      <c r="G383" s="79" t="s">
        <v>64</v>
      </c>
      <c r="H383" s="79"/>
    </row>
    <row r="384" customFormat="false" ht="15" hidden="false" customHeight="false" outlineLevel="0" collapsed="false">
      <c r="A384" s="79" t="n">
        <v>383</v>
      </c>
      <c r="B384" s="79" t="s">
        <v>5</v>
      </c>
      <c r="C384" s="79" t="s">
        <v>1773</v>
      </c>
      <c r="D384" s="79" t="s">
        <v>1774</v>
      </c>
      <c r="E384" s="80" t="s">
        <v>1775</v>
      </c>
      <c r="F384" s="79" t="s">
        <v>1776</v>
      </c>
      <c r="G384" s="79" t="s">
        <v>64</v>
      </c>
      <c r="H384" s="79"/>
    </row>
    <row r="385" customFormat="false" ht="15" hidden="false" customHeight="false" outlineLevel="0" collapsed="false">
      <c r="A385" s="79" t="n">
        <v>384</v>
      </c>
      <c r="B385" s="79" t="s">
        <v>5</v>
      </c>
      <c r="C385" s="79" t="s">
        <v>1457</v>
      </c>
      <c r="D385" s="79" t="s">
        <v>1777</v>
      </c>
      <c r="E385" s="80" t="s">
        <v>1778</v>
      </c>
      <c r="F385" s="79" t="s">
        <v>1779</v>
      </c>
      <c r="G385" s="79" t="s">
        <v>64</v>
      </c>
      <c r="H385" s="79" t="s">
        <v>1780</v>
      </c>
    </row>
    <row r="386" customFormat="false" ht="15" hidden="false" customHeight="false" outlineLevel="0" collapsed="false">
      <c r="A386" s="79" t="n">
        <v>385</v>
      </c>
      <c r="B386" s="79" t="s">
        <v>5</v>
      </c>
      <c r="C386" s="79" t="s">
        <v>1781</v>
      </c>
      <c r="D386" s="79" t="s">
        <v>1782</v>
      </c>
      <c r="E386" s="80" t="s">
        <v>1783</v>
      </c>
      <c r="F386" s="79" t="s">
        <v>1784</v>
      </c>
      <c r="G386" s="79" t="s">
        <v>64</v>
      </c>
      <c r="H386" s="79" t="s">
        <v>845</v>
      </c>
    </row>
    <row r="387" customFormat="false" ht="15" hidden="false" customHeight="false" outlineLevel="0" collapsed="false">
      <c r="A387" s="79" t="n">
        <v>386</v>
      </c>
      <c r="B387" s="79" t="s">
        <v>5</v>
      </c>
      <c r="C387" s="79" t="s">
        <v>1785</v>
      </c>
      <c r="D387" s="79" t="s">
        <v>1786</v>
      </c>
      <c r="E387" s="80" t="s">
        <v>1787</v>
      </c>
      <c r="F387" s="79" t="s">
        <v>1788</v>
      </c>
      <c r="G387" s="79" t="s">
        <v>64</v>
      </c>
      <c r="H387" s="79"/>
    </row>
    <row r="388" customFormat="false" ht="15" hidden="false" customHeight="false" outlineLevel="0" collapsed="false">
      <c r="A388" s="79" t="n">
        <v>387</v>
      </c>
      <c r="B388" s="79" t="s">
        <v>5</v>
      </c>
      <c r="C388" s="79" t="s">
        <v>1789</v>
      </c>
      <c r="D388" s="79" t="s">
        <v>1790</v>
      </c>
      <c r="E388" s="80" t="s">
        <v>1791</v>
      </c>
      <c r="F388" s="79" t="s">
        <v>1792</v>
      </c>
      <c r="G388" s="79" t="s">
        <v>64</v>
      </c>
      <c r="H388" s="79"/>
    </row>
    <row r="389" customFormat="false" ht="15" hidden="false" customHeight="false" outlineLevel="0" collapsed="false">
      <c r="A389" s="79" t="n">
        <v>388</v>
      </c>
      <c r="B389" s="79" t="s">
        <v>5</v>
      </c>
      <c r="C389" s="79" t="s">
        <v>1793</v>
      </c>
      <c r="D389" s="79" t="s">
        <v>1794</v>
      </c>
      <c r="E389" s="80" t="s">
        <v>1795</v>
      </c>
      <c r="F389" s="79" t="s">
        <v>1796</v>
      </c>
      <c r="G389" s="79" t="s">
        <v>64</v>
      </c>
      <c r="H389" s="79"/>
    </row>
    <row r="390" customFormat="false" ht="15" hidden="false" customHeight="false" outlineLevel="0" collapsed="false">
      <c r="A390" s="79" t="n">
        <v>389</v>
      </c>
      <c r="B390" s="79" t="s">
        <v>5</v>
      </c>
      <c r="C390" s="79" t="s">
        <v>1797</v>
      </c>
      <c r="D390" s="79" t="s">
        <v>1798</v>
      </c>
      <c r="E390" s="80" t="s">
        <v>1799</v>
      </c>
      <c r="F390" s="79" t="s">
        <v>1179</v>
      </c>
      <c r="G390" s="79" t="s">
        <v>64</v>
      </c>
      <c r="H390" s="79" t="s">
        <v>1800</v>
      </c>
    </row>
    <row r="391" customFormat="false" ht="15" hidden="false" customHeight="false" outlineLevel="0" collapsed="false">
      <c r="A391" s="79" t="n">
        <v>390</v>
      </c>
      <c r="B391" s="79" t="s">
        <v>5</v>
      </c>
      <c r="C391" s="79" t="s">
        <v>1801</v>
      </c>
      <c r="D391" s="79" t="s">
        <v>1802</v>
      </c>
      <c r="E391" s="80" t="s">
        <v>1803</v>
      </c>
      <c r="F391" s="79" t="s">
        <v>1804</v>
      </c>
      <c r="G391" s="79" t="s">
        <v>64</v>
      </c>
      <c r="H391" s="79" t="s">
        <v>845</v>
      </c>
    </row>
    <row r="392" customFormat="false" ht="15" hidden="false" customHeight="false" outlineLevel="0" collapsed="false">
      <c r="A392" s="79" t="n">
        <v>391</v>
      </c>
      <c r="B392" s="79" t="s">
        <v>5</v>
      </c>
      <c r="C392" s="79" t="s">
        <v>1805</v>
      </c>
      <c r="D392" s="79" t="s">
        <v>1806</v>
      </c>
      <c r="E392" s="80" t="s">
        <v>1807</v>
      </c>
      <c r="F392" s="79" t="s">
        <v>1808</v>
      </c>
      <c r="G392" s="79" t="s">
        <v>64</v>
      </c>
      <c r="H392" s="79" t="s">
        <v>845</v>
      </c>
    </row>
    <row r="393" customFormat="false" ht="15" hidden="false" customHeight="false" outlineLevel="0" collapsed="false">
      <c r="A393" s="79" t="n">
        <v>392</v>
      </c>
      <c r="B393" s="79" t="s">
        <v>5</v>
      </c>
      <c r="C393" s="79" t="s">
        <v>1809</v>
      </c>
      <c r="D393" s="79" t="s">
        <v>1810</v>
      </c>
      <c r="E393" s="80" t="s">
        <v>1811</v>
      </c>
      <c r="F393" s="79" t="s">
        <v>1812</v>
      </c>
      <c r="G393" s="79" t="s">
        <v>64</v>
      </c>
      <c r="H393" s="79"/>
    </row>
    <row r="394" customFormat="false" ht="15" hidden="false" customHeight="false" outlineLevel="0" collapsed="false">
      <c r="A394" s="79" t="n">
        <v>393</v>
      </c>
      <c r="B394" s="79" t="s">
        <v>5</v>
      </c>
      <c r="C394" s="79" t="s">
        <v>1813</v>
      </c>
      <c r="D394" s="79" t="s">
        <v>1814</v>
      </c>
      <c r="E394" s="80" t="s">
        <v>1815</v>
      </c>
      <c r="F394" s="79" t="s">
        <v>1816</v>
      </c>
      <c r="G394" s="79" t="s">
        <v>64</v>
      </c>
      <c r="H394" s="79"/>
    </row>
    <row r="395" customFormat="false" ht="15" hidden="false" customHeight="false" outlineLevel="0" collapsed="false">
      <c r="A395" s="79" t="n">
        <v>394</v>
      </c>
      <c r="B395" s="79" t="s">
        <v>5</v>
      </c>
      <c r="C395" s="79" t="s">
        <v>1817</v>
      </c>
      <c r="D395" s="79" t="s">
        <v>1818</v>
      </c>
      <c r="E395" s="80" t="s">
        <v>1819</v>
      </c>
      <c r="F395" s="79" t="s">
        <v>1820</v>
      </c>
      <c r="G395" s="79" t="s">
        <v>64</v>
      </c>
      <c r="H395" s="79"/>
    </row>
    <row r="396" customFormat="false" ht="15" hidden="false" customHeight="false" outlineLevel="0" collapsed="false">
      <c r="A396" s="79" t="n">
        <v>395</v>
      </c>
      <c r="B396" s="79" t="s">
        <v>5</v>
      </c>
      <c r="C396" s="79" t="s">
        <v>1671</v>
      </c>
      <c r="D396" s="79" t="s">
        <v>1821</v>
      </c>
      <c r="E396" s="80" t="s">
        <v>1822</v>
      </c>
      <c r="F396" s="79" t="s">
        <v>1823</v>
      </c>
      <c r="G396" s="79" t="s">
        <v>64</v>
      </c>
      <c r="H396" s="79"/>
    </row>
    <row r="397" customFormat="false" ht="15" hidden="false" customHeight="false" outlineLevel="0" collapsed="false">
      <c r="A397" s="79" t="n">
        <v>396</v>
      </c>
      <c r="B397" s="79" t="s">
        <v>5</v>
      </c>
      <c r="C397" s="79" t="s">
        <v>1824</v>
      </c>
      <c r="D397" s="79" t="s">
        <v>1825</v>
      </c>
      <c r="E397" s="80" t="s">
        <v>1826</v>
      </c>
      <c r="F397" s="79" t="s">
        <v>1827</v>
      </c>
      <c r="G397" s="79" t="s">
        <v>64</v>
      </c>
      <c r="H397" s="79" t="s">
        <v>1828</v>
      </c>
    </row>
    <row r="398" customFormat="false" ht="15" hidden="false" customHeight="false" outlineLevel="0" collapsed="false">
      <c r="A398" s="79" t="n">
        <v>397</v>
      </c>
      <c r="B398" s="79" t="s">
        <v>5</v>
      </c>
      <c r="C398" s="79" t="s">
        <v>1829</v>
      </c>
      <c r="D398" s="79" t="s">
        <v>1830</v>
      </c>
      <c r="E398" s="80" t="s">
        <v>1831</v>
      </c>
      <c r="F398" s="79" t="s">
        <v>1832</v>
      </c>
      <c r="G398" s="79" t="s">
        <v>64</v>
      </c>
      <c r="H398" s="79"/>
    </row>
    <row r="399" customFormat="false" ht="15" hidden="false" customHeight="false" outlineLevel="0" collapsed="false">
      <c r="A399" s="79" t="n">
        <v>398</v>
      </c>
      <c r="B399" s="79" t="s">
        <v>5</v>
      </c>
      <c r="C399" s="79" t="s">
        <v>1833</v>
      </c>
      <c r="D399" s="79" t="s">
        <v>1834</v>
      </c>
      <c r="E399" s="80" t="s">
        <v>1835</v>
      </c>
      <c r="F399" s="79" t="s">
        <v>440</v>
      </c>
      <c r="G399" s="79" t="s">
        <v>66</v>
      </c>
      <c r="H399" s="79"/>
    </row>
    <row r="400" customFormat="false" ht="15" hidden="false" customHeight="false" outlineLevel="0" collapsed="false">
      <c r="A400" s="79" t="n">
        <v>399</v>
      </c>
      <c r="B400" s="79" t="s">
        <v>5</v>
      </c>
      <c r="C400" s="79" t="s">
        <v>1836</v>
      </c>
      <c r="D400" s="79" t="s">
        <v>1837</v>
      </c>
      <c r="E400" s="80" t="s">
        <v>1838</v>
      </c>
      <c r="F400" s="79" t="s">
        <v>1839</v>
      </c>
      <c r="G400" s="79" t="s">
        <v>66</v>
      </c>
      <c r="H400" s="79"/>
    </row>
    <row r="401" customFormat="false" ht="15" hidden="false" customHeight="false" outlineLevel="0" collapsed="false">
      <c r="A401" s="79" t="n">
        <v>400</v>
      </c>
      <c r="B401" s="79" t="s">
        <v>5</v>
      </c>
      <c r="C401" s="79" t="s">
        <v>1840</v>
      </c>
      <c r="D401" s="79" t="s">
        <v>1841</v>
      </c>
      <c r="E401" s="80" t="s">
        <v>1842</v>
      </c>
      <c r="F401" s="79" t="s">
        <v>1843</v>
      </c>
      <c r="G401" s="79" t="s">
        <v>66</v>
      </c>
      <c r="H401" s="79" t="s">
        <v>845</v>
      </c>
    </row>
    <row r="402" customFormat="false" ht="15" hidden="false" customHeight="false" outlineLevel="0" collapsed="false">
      <c r="A402" s="79" t="n">
        <v>401</v>
      </c>
      <c r="B402" s="79" t="s">
        <v>5</v>
      </c>
      <c r="C402" s="79" t="s">
        <v>1844</v>
      </c>
      <c r="D402" s="79" t="s">
        <v>1845</v>
      </c>
      <c r="E402" s="80" t="s">
        <v>1846</v>
      </c>
      <c r="F402" s="79" t="s">
        <v>1847</v>
      </c>
      <c r="G402" s="79" t="s">
        <v>66</v>
      </c>
      <c r="H402" s="79"/>
    </row>
    <row r="403" customFormat="false" ht="15" hidden="false" customHeight="false" outlineLevel="0" collapsed="false">
      <c r="A403" s="79" t="n">
        <v>402</v>
      </c>
      <c r="B403" s="79" t="s">
        <v>5</v>
      </c>
      <c r="C403" s="79" t="s">
        <v>1848</v>
      </c>
      <c r="D403" s="79" t="s">
        <v>1849</v>
      </c>
      <c r="E403" s="80" t="s">
        <v>1850</v>
      </c>
      <c r="F403" s="79" t="s">
        <v>1851</v>
      </c>
      <c r="G403" s="79" t="s">
        <v>66</v>
      </c>
      <c r="H403" s="79"/>
    </row>
    <row r="404" customFormat="false" ht="15" hidden="false" customHeight="false" outlineLevel="0" collapsed="false">
      <c r="A404" s="79" t="n">
        <v>403</v>
      </c>
      <c r="B404" s="79" t="s">
        <v>5</v>
      </c>
      <c r="C404" s="79" t="s">
        <v>1852</v>
      </c>
      <c r="D404" s="79" t="s">
        <v>1853</v>
      </c>
      <c r="E404" s="80" t="s">
        <v>1854</v>
      </c>
      <c r="F404" s="79" t="s">
        <v>1855</v>
      </c>
      <c r="G404" s="79" t="s">
        <v>66</v>
      </c>
      <c r="H404" s="79"/>
    </row>
    <row r="405" customFormat="false" ht="15" hidden="false" customHeight="false" outlineLevel="0" collapsed="false">
      <c r="A405" s="79" t="n">
        <v>404</v>
      </c>
      <c r="B405" s="79" t="s">
        <v>5</v>
      </c>
      <c r="C405" s="79" t="s">
        <v>1856</v>
      </c>
      <c r="D405" s="79" t="s">
        <v>1857</v>
      </c>
      <c r="E405" s="80" t="s">
        <v>1858</v>
      </c>
      <c r="F405" s="79" t="s">
        <v>1859</v>
      </c>
      <c r="G405" s="79" t="s">
        <v>66</v>
      </c>
      <c r="H405" s="79"/>
    </row>
    <row r="406" customFormat="false" ht="15" hidden="false" customHeight="false" outlineLevel="0" collapsed="false">
      <c r="A406" s="79" t="n">
        <v>405</v>
      </c>
      <c r="B406" s="79" t="s">
        <v>5</v>
      </c>
      <c r="C406" s="79" t="s">
        <v>1860</v>
      </c>
      <c r="D406" s="79" t="s">
        <v>1861</v>
      </c>
      <c r="E406" s="80" t="s">
        <v>1862</v>
      </c>
      <c r="F406" s="79" t="s">
        <v>1863</v>
      </c>
      <c r="G406" s="79" t="s">
        <v>66</v>
      </c>
      <c r="H406" s="79"/>
    </row>
    <row r="407" customFormat="false" ht="15" hidden="false" customHeight="false" outlineLevel="0" collapsed="false">
      <c r="A407" s="79" t="n">
        <v>406</v>
      </c>
      <c r="B407" s="79" t="s">
        <v>5</v>
      </c>
      <c r="C407" s="79" t="s">
        <v>1864</v>
      </c>
      <c r="D407" s="79" t="s">
        <v>1865</v>
      </c>
      <c r="E407" s="80" t="s">
        <v>1866</v>
      </c>
      <c r="F407" s="79" t="s">
        <v>1867</v>
      </c>
      <c r="G407" s="79" t="s">
        <v>66</v>
      </c>
      <c r="H407" s="79" t="s">
        <v>845</v>
      </c>
    </row>
    <row r="408" customFormat="false" ht="15" hidden="false" customHeight="false" outlineLevel="0" collapsed="false">
      <c r="A408" s="79" t="n">
        <v>407</v>
      </c>
      <c r="B408" s="79" t="s">
        <v>5</v>
      </c>
      <c r="C408" s="79" t="s">
        <v>1868</v>
      </c>
      <c r="D408" s="79" t="s">
        <v>1869</v>
      </c>
      <c r="E408" s="80" t="s">
        <v>1870</v>
      </c>
      <c r="F408" s="79" t="s">
        <v>1871</v>
      </c>
      <c r="G408" s="79" t="s">
        <v>66</v>
      </c>
      <c r="H408" s="79" t="s">
        <v>845</v>
      </c>
    </row>
    <row r="409" customFormat="false" ht="15" hidden="false" customHeight="false" outlineLevel="0" collapsed="false">
      <c r="A409" s="79" t="n">
        <v>408</v>
      </c>
      <c r="B409" s="79" t="s">
        <v>5</v>
      </c>
      <c r="C409" s="79" t="s">
        <v>1872</v>
      </c>
      <c r="D409" s="79" t="s">
        <v>1873</v>
      </c>
      <c r="E409" s="80" t="s">
        <v>1874</v>
      </c>
      <c r="F409" s="79" t="s">
        <v>1875</v>
      </c>
      <c r="G409" s="79" t="s">
        <v>66</v>
      </c>
      <c r="H409" s="79"/>
    </row>
    <row r="410" customFormat="false" ht="15" hidden="false" customHeight="false" outlineLevel="0" collapsed="false">
      <c r="A410" s="79" t="n">
        <v>409</v>
      </c>
      <c r="B410" s="79" t="s">
        <v>5</v>
      </c>
      <c r="C410" s="79" t="s">
        <v>1876</v>
      </c>
      <c r="D410" s="79" t="s">
        <v>1877</v>
      </c>
      <c r="E410" s="80" t="s">
        <v>1878</v>
      </c>
      <c r="F410" s="79" t="s">
        <v>1879</v>
      </c>
      <c r="G410" s="79" t="s">
        <v>66</v>
      </c>
      <c r="H410" s="79"/>
    </row>
    <row r="411" customFormat="false" ht="15" hidden="false" customHeight="false" outlineLevel="0" collapsed="false">
      <c r="A411" s="79" t="n">
        <v>410</v>
      </c>
      <c r="B411" s="79" t="s">
        <v>5</v>
      </c>
      <c r="C411" s="79" t="s">
        <v>1880</v>
      </c>
      <c r="D411" s="79" t="s">
        <v>1881</v>
      </c>
      <c r="E411" s="80" t="s">
        <v>1882</v>
      </c>
      <c r="F411" s="79" t="s">
        <v>407</v>
      </c>
      <c r="G411" s="79" t="s">
        <v>66</v>
      </c>
      <c r="H411" s="79"/>
    </row>
    <row r="412" customFormat="false" ht="15" hidden="false" customHeight="false" outlineLevel="0" collapsed="false">
      <c r="A412" s="79" t="n">
        <v>411</v>
      </c>
      <c r="B412" s="79" t="s">
        <v>5</v>
      </c>
      <c r="C412" s="79" t="s">
        <v>1883</v>
      </c>
      <c r="D412" s="79" t="s">
        <v>1884</v>
      </c>
      <c r="E412" s="80" t="s">
        <v>1885</v>
      </c>
      <c r="F412" s="79" t="s">
        <v>1886</v>
      </c>
      <c r="G412" s="79" t="s">
        <v>66</v>
      </c>
      <c r="H412" s="79"/>
    </row>
    <row r="413" customFormat="false" ht="15" hidden="false" customHeight="false" outlineLevel="0" collapsed="false">
      <c r="A413" s="79" t="n">
        <v>412</v>
      </c>
      <c r="B413" s="79" t="s">
        <v>5</v>
      </c>
      <c r="C413" s="79" t="s">
        <v>1887</v>
      </c>
      <c r="D413" s="79" t="s">
        <v>1888</v>
      </c>
      <c r="E413" s="80" t="s">
        <v>1889</v>
      </c>
      <c r="F413" s="79" t="s">
        <v>1890</v>
      </c>
      <c r="G413" s="79" t="s">
        <v>66</v>
      </c>
      <c r="H413" s="79"/>
    </row>
    <row r="414" customFormat="false" ht="15" hidden="false" customHeight="false" outlineLevel="0" collapsed="false">
      <c r="A414" s="79" t="n">
        <v>413</v>
      </c>
      <c r="B414" s="79" t="s">
        <v>5</v>
      </c>
      <c r="C414" s="79" t="s">
        <v>1891</v>
      </c>
      <c r="D414" s="79" t="s">
        <v>1892</v>
      </c>
      <c r="E414" s="80" t="s">
        <v>1893</v>
      </c>
      <c r="F414" s="79" t="s">
        <v>1894</v>
      </c>
      <c r="G414" s="79" t="s">
        <v>66</v>
      </c>
      <c r="H414" s="79"/>
    </row>
    <row r="415" customFormat="false" ht="15" hidden="false" customHeight="false" outlineLevel="0" collapsed="false">
      <c r="A415" s="79" t="n">
        <v>414</v>
      </c>
      <c r="B415" s="79" t="s">
        <v>5</v>
      </c>
      <c r="C415" s="79" t="s">
        <v>1895</v>
      </c>
      <c r="D415" s="79" t="s">
        <v>1896</v>
      </c>
      <c r="E415" s="80" t="s">
        <v>1897</v>
      </c>
      <c r="F415" s="79" t="s">
        <v>435</v>
      </c>
      <c r="G415" s="79" t="s">
        <v>66</v>
      </c>
      <c r="H415" s="79"/>
    </row>
    <row r="416" customFormat="false" ht="15" hidden="false" customHeight="false" outlineLevel="0" collapsed="false">
      <c r="A416" s="79" t="n">
        <v>415</v>
      </c>
      <c r="B416" s="79" t="s">
        <v>5</v>
      </c>
      <c r="C416" s="79" t="s">
        <v>1898</v>
      </c>
      <c r="D416" s="79" t="s">
        <v>1899</v>
      </c>
      <c r="E416" s="80" t="s">
        <v>1900</v>
      </c>
      <c r="F416" s="79" t="s">
        <v>1901</v>
      </c>
      <c r="G416" s="79" t="s">
        <v>66</v>
      </c>
      <c r="H416" s="79"/>
    </row>
    <row r="417" customFormat="false" ht="15" hidden="false" customHeight="false" outlineLevel="0" collapsed="false">
      <c r="A417" s="79" t="n">
        <v>416</v>
      </c>
      <c r="B417" s="79" t="s">
        <v>5</v>
      </c>
      <c r="C417" s="79" t="s">
        <v>1902</v>
      </c>
      <c r="D417" s="79" t="s">
        <v>1903</v>
      </c>
      <c r="E417" s="80" t="s">
        <v>1904</v>
      </c>
      <c r="F417" s="79" t="s">
        <v>327</v>
      </c>
      <c r="G417" s="79" t="s">
        <v>66</v>
      </c>
      <c r="H417" s="79"/>
    </row>
    <row r="418" customFormat="false" ht="15" hidden="false" customHeight="false" outlineLevel="0" collapsed="false">
      <c r="A418" s="79" t="n">
        <v>417</v>
      </c>
      <c r="B418" s="79" t="s">
        <v>5</v>
      </c>
      <c r="C418" s="79" t="s">
        <v>1905</v>
      </c>
      <c r="D418" s="79" t="s">
        <v>1906</v>
      </c>
      <c r="E418" s="80" t="s">
        <v>1907</v>
      </c>
      <c r="F418" s="79" t="s">
        <v>1908</v>
      </c>
      <c r="G418" s="79" t="s">
        <v>66</v>
      </c>
      <c r="H418" s="79"/>
    </row>
    <row r="419" customFormat="false" ht="15" hidden="false" customHeight="false" outlineLevel="0" collapsed="false">
      <c r="A419" s="79" t="n">
        <v>418</v>
      </c>
      <c r="B419" s="79" t="s">
        <v>5</v>
      </c>
      <c r="C419" s="79" t="s">
        <v>1909</v>
      </c>
      <c r="D419" s="79" t="s">
        <v>1910</v>
      </c>
      <c r="E419" s="80" t="s">
        <v>876</v>
      </c>
      <c r="F419" s="79" t="s">
        <v>877</v>
      </c>
      <c r="G419" s="79" t="s">
        <v>68</v>
      </c>
      <c r="H419" s="79" t="s">
        <v>845</v>
      </c>
    </row>
    <row r="420" customFormat="false" ht="15" hidden="false" customHeight="false" outlineLevel="0" collapsed="false">
      <c r="A420" s="79" t="n">
        <v>419</v>
      </c>
      <c r="B420" s="79" t="s">
        <v>5</v>
      </c>
      <c r="C420" s="79" t="s">
        <v>1911</v>
      </c>
      <c r="D420" s="79" t="s">
        <v>1912</v>
      </c>
      <c r="E420" s="80" t="s">
        <v>1913</v>
      </c>
      <c r="F420" s="79" t="s">
        <v>1914</v>
      </c>
      <c r="G420" s="79" t="s">
        <v>68</v>
      </c>
      <c r="H420" s="79" t="s">
        <v>845</v>
      </c>
    </row>
    <row r="421" customFormat="false" ht="15" hidden="false" customHeight="false" outlineLevel="0" collapsed="false">
      <c r="A421" s="79" t="n">
        <v>420</v>
      </c>
      <c r="B421" s="79" t="s">
        <v>5</v>
      </c>
      <c r="C421" s="79" t="s">
        <v>1915</v>
      </c>
      <c r="D421" s="79" t="s">
        <v>1916</v>
      </c>
      <c r="E421" s="80" t="s">
        <v>1917</v>
      </c>
      <c r="F421" s="79" t="s">
        <v>1918</v>
      </c>
      <c r="G421" s="79" t="s">
        <v>68</v>
      </c>
      <c r="H421" s="79" t="s">
        <v>845</v>
      </c>
    </row>
    <row r="422" customFormat="false" ht="15" hidden="false" customHeight="false" outlineLevel="0" collapsed="false">
      <c r="A422" s="79" t="n">
        <v>421</v>
      </c>
      <c r="B422" s="79" t="s">
        <v>5</v>
      </c>
      <c r="C422" s="79" t="s">
        <v>1919</v>
      </c>
      <c r="D422" s="79" t="s">
        <v>1920</v>
      </c>
      <c r="E422" s="80" t="s">
        <v>1921</v>
      </c>
      <c r="F422" s="79" t="s">
        <v>1922</v>
      </c>
      <c r="G422" s="79" t="s">
        <v>68</v>
      </c>
      <c r="H422" s="79"/>
    </row>
    <row r="423" customFormat="false" ht="15" hidden="false" customHeight="false" outlineLevel="0" collapsed="false">
      <c r="A423" s="79" t="n">
        <v>422</v>
      </c>
      <c r="B423" s="79" t="s">
        <v>5</v>
      </c>
      <c r="C423" s="79" t="s">
        <v>1923</v>
      </c>
      <c r="D423" s="79" t="s">
        <v>1924</v>
      </c>
      <c r="E423" s="80" t="s">
        <v>1925</v>
      </c>
      <c r="F423" s="79" t="s">
        <v>1926</v>
      </c>
      <c r="G423" s="79" t="s">
        <v>68</v>
      </c>
      <c r="H423" s="79" t="s">
        <v>845</v>
      </c>
    </row>
    <row r="424" customFormat="false" ht="15" hidden="false" customHeight="false" outlineLevel="0" collapsed="false">
      <c r="A424" s="79" t="n">
        <v>423</v>
      </c>
      <c r="B424" s="79" t="s">
        <v>5</v>
      </c>
      <c r="C424" s="79" t="s">
        <v>1927</v>
      </c>
      <c r="D424" s="79" t="s">
        <v>1928</v>
      </c>
      <c r="E424" s="80" t="s">
        <v>1929</v>
      </c>
      <c r="F424" s="79" t="s">
        <v>1930</v>
      </c>
      <c r="G424" s="79" t="s">
        <v>68</v>
      </c>
      <c r="H424" s="79"/>
    </row>
    <row r="425" customFormat="false" ht="15" hidden="false" customHeight="false" outlineLevel="0" collapsed="false">
      <c r="A425" s="79" t="n">
        <v>424</v>
      </c>
      <c r="B425" s="79" t="s">
        <v>5</v>
      </c>
      <c r="C425" s="79" t="s">
        <v>1931</v>
      </c>
      <c r="D425" s="79" t="s">
        <v>1932</v>
      </c>
      <c r="E425" s="80" t="s">
        <v>1933</v>
      </c>
      <c r="F425" s="79" t="s">
        <v>1934</v>
      </c>
      <c r="G425" s="79" t="s">
        <v>68</v>
      </c>
      <c r="H425" s="79" t="s">
        <v>845</v>
      </c>
    </row>
    <row r="426" customFormat="false" ht="15" hidden="false" customHeight="false" outlineLevel="0" collapsed="false">
      <c r="A426" s="79" t="n">
        <v>425</v>
      </c>
      <c r="B426" s="79" t="s">
        <v>5</v>
      </c>
      <c r="C426" s="79" t="s">
        <v>1935</v>
      </c>
      <c r="D426" s="79" t="s">
        <v>1936</v>
      </c>
      <c r="E426" s="80" t="s">
        <v>1937</v>
      </c>
      <c r="F426" s="79" t="s">
        <v>1938</v>
      </c>
      <c r="G426" s="79" t="s">
        <v>68</v>
      </c>
      <c r="H426" s="79"/>
    </row>
    <row r="427" customFormat="false" ht="15" hidden="false" customHeight="false" outlineLevel="0" collapsed="false">
      <c r="A427" s="79" t="n">
        <v>426</v>
      </c>
      <c r="B427" s="79" t="s">
        <v>5</v>
      </c>
      <c r="C427" s="79" t="s">
        <v>1939</v>
      </c>
      <c r="D427" s="79" t="s">
        <v>1940</v>
      </c>
      <c r="E427" s="80" t="s">
        <v>1941</v>
      </c>
      <c r="F427" s="79" t="s">
        <v>1942</v>
      </c>
      <c r="G427" s="79" t="s">
        <v>68</v>
      </c>
      <c r="H427" s="79" t="s">
        <v>845</v>
      </c>
    </row>
    <row r="428" customFormat="false" ht="15" hidden="false" customHeight="false" outlineLevel="0" collapsed="false">
      <c r="A428" s="79" t="n">
        <v>427</v>
      </c>
      <c r="B428" s="79" t="s">
        <v>5</v>
      </c>
      <c r="C428" s="79" t="s">
        <v>1943</v>
      </c>
      <c r="D428" s="79" t="s">
        <v>1944</v>
      </c>
      <c r="E428" s="80" t="s">
        <v>1945</v>
      </c>
      <c r="F428" s="79" t="s">
        <v>1946</v>
      </c>
      <c r="G428" s="79" t="s">
        <v>68</v>
      </c>
      <c r="H428" s="79" t="s">
        <v>845</v>
      </c>
    </row>
    <row r="429" customFormat="false" ht="15" hidden="false" customHeight="false" outlineLevel="0" collapsed="false">
      <c r="A429" s="79" t="n">
        <v>428</v>
      </c>
      <c r="B429" s="79" t="s">
        <v>5</v>
      </c>
      <c r="C429" s="79" t="s">
        <v>1947</v>
      </c>
      <c r="D429" s="79" t="s">
        <v>1948</v>
      </c>
      <c r="E429" s="80" t="s">
        <v>1949</v>
      </c>
      <c r="F429" s="79" t="s">
        <v>1950</v>
      </c>
      <c r="G429" s="79" t="s">
        <v>68</v>
      </c>
      <c r="H429" s="79"/>
    </row>
    <row r="430" customFormat="false" ht="15" hidden="false" customHeight="false" outlineLevel="0" collapsed="false">
      <c r="A430" s="79" t="n">
        <v>429</v>
      </c>
      <c r="B430" s="79" t="s">
        <v>5</v>
      </c>
      <c r="C430" s="79" t="s">
        <v>1951</v>
      </c>
      <c r="D430" s="79" t="s">
        <v>1952</v>
      </c>
      <c r="E430" s="80" t="s">
        <v>1953</v>
      </c>
      <c r="F430" s="79" t="s">
        <v>1954</v>
      </c>
      <c r="G430" s="79" t="s">
        <v>68</v>
      </c>
      <c r="H430" s="79" t="s">
        <v>845</v>
      </c>
    </row>
    <row r="431" customFormat="false" ht="15" hidden="false" customHeight="false" outlineLevel="0" collapsed="false">
      <c r="A431" s="79" t="n">
        <v>430</v>
      </c>
      <c r="B431" s="79" t="s">
        <v>5</v>
      </c>
      <c r="C431" s="79" t="s">
        <v>1955</v>
      </c>
      <c r="D431" s="79" t="s">
        <v>1956</v>
      </c>
      <c r="E431" s="80" t="s">
        <v>1957</v>
      </c>
      <c r="F431" s="79" t="s">
        <v>1958</v>
      </c>
      <c r="G431" s="79" t="s">
        <v>68</v>
      </c>
      <c r="H431" s="79" t="s">
        <v>845</v>
      </c>
    </row>
    <row r="432" customFormat="false" ht="15" hidden="false" customHeight="false" outlineLevel="0" collapsed="false">
      <c r="A432" s="79" t="n">
        <v>431</v>
      </c>
      <c r="B432" s="79" t="s">
        <v>5</v>
      </c>
      <c r="C432" s="79" t="s">
        <v>1959</v>
      </c>
      <c r="D432" s="79" t="s">
        <v>1960</v>
      </c>
      <c r="E432" s="80" t="s">
        <v>1961</v>
      </c>
      <c r="F432" s="79" t="s">
        <v>1962</v>
      </c>
      <c r="G432" s="79" t="s">
        <v>68</v>
      </c>
      <c r="H432" s="79"/>
    </row>
    <row r="433" customFormat="false" ht="15" hidden="false" customHeight="false" outlineLevel="0" collapsed="false">
      <c r="A433" s="79" t="n">
        <v>432</v>
      </c>
      <c r="B433" s="79" t="s">
        <v>5</v>
      </c>
      <c r="C433" s="79" t="s">
        <v>1963</v>
      </c>
      <c r="D433" s="79" t="s">
        <v>1964</v>
      </c>
      <c r="E433" s="80" t="s">
        <v>1965</v>
      </c>
      <c r="F433" s="79" t="s">
        <v>1966</v>
      </c>
      <c r="G433" s="79" t="s">
        <v>68</v>
      </c>
      <c r="H433" s="79"/>
    </row>
    <row r="434" customFormat="false" ht="15" hidden="false" customHeight="false" outlineLevel="0" collapsed="false">
      <c r="A434" s="79" t="n">
        <v>433</v>
      </c>
      <c r="B434" s="79" t="s">
        <v>5</v>
      </c>
      <c r="C434" s="79" t="s">
        <v>1967</v>
      </c>
      <c r="D434" s="79" t="s">
        <v>1642</v>
      </c>
      <c r="E434" s="80" t="s">
        <v>1643</v>
      </c>
      <c r="F434" s="79" t="s">
        <v>1644</v>
      </c>
      <c r="G434" s="79" t="s">
        <v>68</v>
      </c>
      <c r="H434" s="79"/>
    </row>
    <row r="435" customFormat="false" ht="15" hidden="false" customHeight="false" outlineLevel="0" collapsed="false">
      <c r="A435" s="79" t="n">
        <v>434</v>
      </c>
      <c r="B435" s="79" t="s">
        <v>5</v>
      </c>
      <c r="C435" s="79" t="s">
        <v>1968</v>
      </c>
      <c r="D435" s="79" t="s">
        <v>1969</v>
      </c>
      <c r="E435" s="80" t="s">
        <v>1970</v>
      </c>
      <c r="F435" s="79" t="s">
        <v>1971</v>
      </c>
      <c r="G435" s="79" t="s">
        <v>68</v>
      </c>
      <c r="H435" s="79"/>
    </row>
    <row r="436" customFormat="false" ht="15" hidden="false" customHeight="false" outlineLevel="0" collapsed="false">
      <c r="A436" s="79" t="n">
        <v>435</v>
      </c>
      <c r="B436" s="79" t="s">
        <v>5</v>
      </c>
      <c r="C436" s="79" t="s">
        <v>1972</v>
      </c>
      <c r="D436" s="79" t="s">
        <v>1973</v>
      </c>
      <c r="E436" s="80" t="s">
        <v>1974</v>
      </c>
      <c r="F436" s="79" t="s">
        <v>1975</v>
      </c>
      <c r="G436" s="79" t="s">
        <v>68</v>
      </c>
      <c r="H436" s="79" t="s">
        <v>845</v>
      </c>
    </row>
    <row r="437" customFormat="false" ht="15" hidden="false" customHeight="false" outlineLevel="0" collapsed="false">
      <c r="A437" s="79" t="n">
        <v>436</v>
      </c>
      <c r="B437" s="79" t="s">
        <v>5</v>
      </c>
      <c r="C437" s="79" t="s">
        <v>1976</v>
      </c>
      <c r="D437" s="79" t="s">
        <v>1977</v>
      </c>
      <c r="E437" s="80" t="s">
        <v>1978</v>
      </c>
      <c r="F437" s="79" t="s">
        <v>1979</v>
      </c>
      <c r="G437" s="79" t="s">
        <v>68</v>
      </c>
      <c r="H437" s="79" t="s">
        <v>845</v>
      </c>
    </row>
    <row r="438" customFormat="false" ht="15" hidden="false" customHeight="false" outlineLevel="0" collapsed="false">
      <c r="A438" s="79" t="n">
        <v>437</v>
      </c>
      <c r="B438" s="79" t="s">
        <v>5</v>
      </c>
      <c r="C438" s="79" t="s">
        <v>1980</v>
      </c>
      <c r="D438" s="79" t="s">
        <v>1981</v>
      </c>
      <c r="E438" s="80" t="s">
        <v>1982</v>
      </c>
      <c r="F438" s="79" t="s">
        <v>1983</v>
      </c>
      <c r="G438" s="79" t="s">
        <v>68</v>
      </c>
      <c r="H438" s="79" t="s">
        <v>845</v>
      </c>
    </row>
    <row r="439" customFormat="false" ht="15" hidden="false" customHeight="false" outlineLevel="0" collapsed="false">
      <c r="A439" s="79" t="n">
        <v>438</v>
      </c>
      <c r="B439" s="79" t="s">
        <v>5</v>
      </c>
      <c r="C439" s="79" t="s">
        <v>1984</v>
      </c>
      <c r="D439" s="79" t="s">
        <v>1985</v>
      </c>
      <c r="E439" s="80" t="s">
        <v>1986</v>
      </c>
      <c r="F439" s="79" t="s">
        <v>1987</v>
      </c>
      <c r="G439" s="79" t="s">
        <v>68</v>
      </c>
      <c r="H439" s="79"/>
    </row>
    <row r="440" customFormat="false" ht="15" hidden="false" customHeight="false" outlineLevel="0" collapsed="false">
      <c r="A440" s="79" t="n">
        <v>439</v>
      </c>
      <c r="B440" s="79" t="s">
        <v>5</v>
      </c>
      <c r="C440" s="79" t="s">
        <v>1988</v>
      </c>
      <c r="D440" s="79" t="s">
        <v>1989</v>
      </c>
      <c r="E440" s="80" t="s">
        <v>1990</v>
      </c>
      <c r="F440" s="79" t="s">
        <v>1991</v>
      </c>
      <c r="G440" s="79" t="s">
        <v>68</v>
      </c>
      <c r="H440" s="79"/>
    </row>
    <row r="441" customFormat="false" ht="15" hidden="false" customHeight="false" outlineLevel="0" collapsed="false">
      <c r="A441" s="79" t="n">
        <v>440</v>
      </c>
      <c r="B441" s="79" t="s">
        <v>5</v>
      </c>
      <c r="C441" s="79" t="s">
        <v>1992</v>
      </c>
      <c r="D441" s="79" t="s">
        <v>1993</v>
      </c>
      <c r="E441" s="80" t="s">
        <v>1994</v>
      </c>
      <c r="F441" s="79" t="s">
        <v>1995</v>
      </c>
      <c r="G441" s="79" t="s">
        <v>68</v>
      </c>
      <c r="H441" s="79"/>
    </row>
    <row r="442" customFormat="false" ht="15" hidden="false" customHeight="false" outlineLevel="0" collapsed="false">
      <c r="A442" s="79" t="n">
        <v>441</v>
      </c>
      <c r="B442" s="79" t="s">
        <v>5</v>
      </c>
      <c r="C442" s="79" t="s">
        <v>1996</v>
      </c>
      <c r="D442" s="79" t="s">
        <v>1997</v>
      </c>
      <c r="E442" s="80" t="s">
        <v>1998</v>
      </c>
      <c r="F442" s="79" t="s">
        <v>1999</v>
      </c>
      <c r="G442" s="79" t="s">
        <v>68</v>
      </c>
      <c r="H442" s="79" t="s">
        <v>845</v>
      </c>
    </row>
    <row r="443" customFormat="false" ht="15" hidden="false" customHeight="false" outlineLevel="0" collapsed="false">
      <c r="A443" s="79" t="n">
        <v>442</v>
      </c>
      <c r="B443" s="79" t="s">
        <v>5</v>
      </c>
      <c r="C443" s="79" t="s">
        <v>2000</v>
      </c>
      <c r="D443" s="79" t="s">
        <v>2001</v>
      </c>
      <c r="E443" s="80" t="s">
        <v>2002</v>
      </c>
      <c r="F443" s="79" t="s">
        <v>2003</v>
      </c>
      <c r="G443" s="79" t="s">
        <v>68</v>
      </c>
      <c r="H443" s="79"/>
    </row>
    <row r="444" customFormat="false" ht="15" hidden="false" customHeight="false" outlineLevel="0" collapsed="false">
      <c r="A444" s="79" t="n">
        <v>443</v>
      </c>
      <c r="B444" s="79" t="s">
        <v>5</v>
      </c>
      <c r="C444" s="79" t="s">
        <v>2004</v>
      </c>
      <c r="D444" s="79" t="s">
        <v>2005</v>
      </c>
      <c r="E444" s="80" t="s">
        <v>2006</v>
      </c>
      <c r="F444" s="79" t="s">
        <v>2007</v>
      </c>
      <c r="G444" s="79" t="s">
        <v>70</v>
      </c>
      <c r="H444" s="79" t="s">
        <v>845</v>
      </c>
    </row>
    <row r="445" customFormat="false" ht="15" hidden="false" customHeight="false" outlineLevel="0" collapsed="false">
      <c r="A445" s="79" t="n">
        <v>444</v>
      </c>
      <c r="B445" s="79" t="s">
        <v>5</v>
      </c>
      <c r="C445" s="79" t="s">
        <v>2008</v>
      </c>
      <c r="D445" s="79" t="s">
        <v>2009</v>
      </c>
      <c r="E445" s="80" t="s">
        <v>2010</v>
      </c>
      <c r="F445" s="79" t="s">
        <v>2011</v>
      </c>
      <c r="G445" s="79" t="s">
        <v>70</v>
      </c>
      <c r="H445" s="79"/>
    </row>
    <row r="446" customFormat="false" ht="15" hidden="false" customHeight="false" outlineLevel="0" collapsed="false">
      <c r="A446" s="79" t="n">
        <v>445</v>
      </c>
      <c r="B446" s="79" t="s">
        <v>5</v>
      </c>
      <c r="C446" s="79" t="s">
        <v>2012</v>
      </c>
      <c r="D446" s="79" t="s">
        <v>2012</v>
      </c>
      <c r="E446" s="80" t="s">
        <v>2013</v>
      </c>
      <c r="F446" s="79" t="s">
        <v>2014</v>
      </c>
      <c r="G446" s="79" t="s">
        <v>70</v>
      </c>
      <c r="H446" s="79"/>
    </row>
    <row r="447" customFormat="false" ht="15" hidden="false" customHeight="false" outlineLevel="0" collapsed="false">
      <c r="A447" s="79" t="n">
        <v>446</v>
      </c>
      <c r="B447" s="79" t="s">
        <v>5</v>
      </c>
      <c r="C447" s="79" t="s">
        <v>2015</v>
      </c>
      <c r="D447" s="79" t="s">
        <v>2016</v>
      </c>
      <c r="E447" s="80" t="s">
        <v>2017</v>
      </c>
      <c r="F447" s="79" t="s">
        <v>2018</v>
      </c>
      <c r="G447" s="79" t="s">
        <v>70</v>
      </c>
      <c r="H447" s="79"/>
    </row>
    <row r="448" customFormat="false" ht="15" hidden="false" customHeight="false" outlineLevel="0" collapsed="false">
      <c r="A448" s="79" t="n">
        <v>447</v>
      </c>
      <c r="B448" s="79" t="s">
        <v>5</v>
      </c>
      <c r="C448" s="79" t="s">
        <v>2019</v>
      </c>
      <c r="D448" s="79" t="s">
        <v>2020</v>
      </c>
      <c r="E448" s="80" t="s">
        <v>2021</v>
      </c>
      <c r="F448" s="79" t="s">
        <v>2022</v>
      </c>
      <c r="G448" s="79" t="s">
        <v>70</v>
      </c>
      <c r="H448" s="79" t="s">
        <v>845</v>
      </c>
    </row>
    <row r="449" customFormat="false" ht="15" hidden="false" customHeight="false" outlineLevel="0" collapsed="false">
      <c r="A449" s="79" t="n">
        <v>448</v>
      </c>
      <c r="B449" s="79" t="s">
        <v>5</v>
      </c>
      <c r="C449" s="79" t="s">
        <v>2023</v>
      </c>
      <c r="D449" s="79" t="s">
        <v>2024</v>
      </c>
      <c r="E449" s="80" t="s">
        <v>2025</v>
      </c>
      <c r="F449" s="79" t="s">
        <v>2026</v>
      </c>
      <c r="G449" s="79" t="s">
        <v>70</v>
      </c>
      <c r="H449" s="79"/>
    </row>
    <row r="450" customFormat="false" ht="15" hidden="false" customHeight="false" outlineLevel="0" collapsed="false">
      <c r="A450" s="79" t="n">
        <v>449</v>
      </c>
      <c r="B450" s="79" t="s">
        <v>5</v>
      </c>
      <c r="C450" s="79" t="s">
        <v>2027</v>
      </c>
      <c r="D450" s="79" t="s">
        <v>2027</v>
      </c>
      <c r="E450" s="80" t="s">
        <v>2028</v>
      </c>
      <c r="F450" s="79" t="s">
        <v>2029</v>
      </c>
      <c r="G450" s="79" t="s">
        <v>70</v>
      </c>
      <c r="H450" s="79"/>
    </row>
    <row r="451" customFormat="false" ht="15" hidden="false" customHeight="false" outlineLevel="0" collapsed="false">
      <c r="A451" s="79" t="n">
        <v>450</v>
      </c>
      <c r="B451" s="79" t="s">
        <v>5</v>
      </c>
      <c r="C451" s="79" t="s">
        <v>2030</v>
      </c>
      <c r="D451" s="79" t="s">
        <v>2031</v>
      </c>
      <c r="E451" s="80" t="s">
        <v>2032</v>
      </c>
      <c r="F451" s="79" t="s">
        <v>2033</v>
      </c>
      <c r="G451" s="79" t="s">
        <v>70</v>
      </c>
      <c r="H451" s="79"/>
    </row>
    <row r="452" customFormat="false" ht="15" hidden="false" customHeight="false" outlineLevel="0" collapsed="false">
      <c r="A452" s="79" t="n">
        <v>451</v>
      </c>
      <c r="B452" s="79" t="s">
        <v>5</v>
      </c>
      <c r="C452" s="79" t="s">
        <v>2034</v>
      </c>
      <c r="D452" s="79" t="s">
        <v>2035</v>
      </c>
      <c r="E452" s="80" t="s">
        <v>2036</v>
      </c>
      <c r="F452" s="79" t="s">
        <v>2037</v>
      </c>
      <c r="G452" s="79" t="s">
        <v>70</v>
      </c>
      <c r="H452" s="79"/>
    </row>
    <row r="453" customFormat="false" ht="15" hidden="false" customHeight="false" outlineLevel="0" collapsed="false">
      <c r="A453" s="79" t="n">
        <v>452</v>
      </c>
      <c r="B453" s="79" t="s">
        <v>5</v>
      </c>
      <c r="C453" s="79" t="s">
        <v>2038</v>
      </c>
      <c r="D453" s="79" t="s">
        <v>2039</v>
      </c>
      <c r="E453" s="80" t="s">
        <v>2040</v>
      </c>
      <c r="F453" s="79" t="s">
        <v>2041</v>
      </c>
      <c r="G453" s="79" t="s">
        <v>70</v>
      </c>
      <c r="H453" s="79" t="s">
        <v>845</v>
      </c>
    </row>
    <row r="454" customFormat="false" ht="15" hidden="false" customHeight="false" outlineLevel="0" collapsed="false">
      <c r="A454" s="79" t="n">
        <v>453</v>
      </c>
      <c r="B454" s="79" t="s">
        <v>5</v>
      </c>
      <c r="C454" s="79" t="s">
        <v>2042</v>
      </c>
      <c r="D454" s="79" t="s">
        <v>2043</v>
      </c>
      <c r="E454" s="80" t="s">
        <v>2044</v>
      </c>
      <c r="F454" s="79" t="s">
        <v>2045</v>
      </c>
      <c r="G454" s="79" t="s">
        <v>70</v>
      </c>
      <c r="H454" s="79" t="s">
        <v>845</v>
      </c>
    </row>
    <row r="455" customFormat="false" ht="15" hidden="false" customHeight="false" outlineLevel="0" collapsed="false">
      <c r="A455" s="79" t="n">
        <v>454</v>
      </c>
      <c r="B455" s="79" t="s">
        <v>5</v>
      </c>
      <c r="C455" s="79" t="s">
        <v>2046</v>
      </c>
      <c r="D455" s="79" t="s">
        <v>2047</v>
      </c>
      <c r="E455" s="80" t="s">
        <v>2048</v>
      </c>
      <c r="F455" s="79" t="s">
        <v>2049</v>
      </c>
      <c r="G455" s="79" t="s">
        <v>70</v>
      </c>
      <c r="H455" s="79"/>
    </row>
    <row r="456" customFormat="false" ht="15" hidden="false" customHeight="false" outlineLevel="0" collapsed="false">
      <c r="A456" s="79" t="n">
        <v>455</v>
      </c>
      <c r="B456" s="79" t="s">
        <v>5</v>
      </c>
      <c r="C456" s="79" t="s">
        <v>2050</v>
      </c>
      <c r="D456" s="79" t="s">
        <v>2051</v>
      </c>
      <c r="E456" s="80" t="s">
        <v>2052</v>
      </c>
      <c r="F456" s="79" t="s">
        <v>2053</v>
      </c>
      <c r="G456" s="79" t="s">
        <v>70</v>
      </c>
      <c r="H456" s="79"/>
    </row>
    <row r="457" customFormat="false" ht="15" hidden="false" customHeight="false" outlineLevel="0" collapsed="false">
      <c r="A457" s="79" t="n">
        <v>456</v>
      </c>
      <c r="B457" s="79" t="s">
        <v>5</v>
      </c>
      <c r="C457" s="79" t="s">
        <v>2054</v>
      </c>
      <c r="D457" s="79" t="s">
        <v>2055</v>
      </c>
      <c r="E457" s="80" t="s">
        <v>2056</v>
      </c>
      <c r="F457" s="79" t="s">
        <v>2057</v>
      </c>
      <c r="G457" s="79" t="s">
        <v>70</v>
      </c>
      <c r="H457" s="79"/>
    </row>
    <row r="458" customFormat="false" ht="15" hidden="false" customHeight="false" outlineLevel="0" collapsed="false">
      <c r="A458" s="79" t="n">
        <v>457</v>
      </c>
      <c r="B458" s="79" t="s">
        <v>5</v>
      </c>
      <c r="C458" s="79" t="s">
        <v>2058</v>
      </c>
      <c r="D458" s="79" t="s">
        <v>2059</v>
      </c>
      <c r="E458" s="80" t="s">
        <v>2060</v>
      </c>
      <c r="F458" s="79" t="s">
        <v>2061</v>
      </c>
      <c r="G458" s="79" t="s">
        <v>70</v>
      </c>
      <c r="H458" s="79"/>
    </row>
    <row r="459" customFormat="false" ht="15" hidden="false" customHeight="false" outlineLevel="0" collapsed="false">
      <c r="A459" s="79" t="n">
        <v>458</v>
      </c>
      <c r="B459" s="79" t="s">
        <v>5</v>
      </c>
      <c r="C459" s="79" t="s">
        <v>2062</v>
      </c>
      <c r="D459" s="79" t="s">
        <v>2063</v>
      </c>
      <c r="E459" s="80" t="s">
        <v>2064</v>
      </c>
      <c r="F459" s="79" t="s">
        <v>2065</v>
      </c>
      <c r="G459" s="79" t="s">
        <v>70</v>
      </c>
      <c r="H459" s="79"/>
    </row>
    <row r="460" customFormat="false" ht="15" hidden="false" customHeight="false" outlineLevel="0" collapsed="false">
      <c r="A460" s="79" t="n">
        <v>459</v>
      </c>
      <c r="B460" s="79" t="s">
        <v>5</v>
      </c>
      <c r="C460" s="79" t="s">
        <v>2066</v>
      </c>
      <c r="D460" s="79" t="s">
        <v>2067</v>
      </c>
      <c r="E460" s="80" t="s">
        <v>2068</v>
      </c>
      <c r="F460" s="79" t="s">
        <v>2069</v>
      </c>
      <c r="G460" s="79" t="s">
        <v>70</v>
      </c>
      <c r="H460" s="79" t="s">
        <v>845</v>
      </c>
    </row>
    <row r="461" customFormat="false" ht="15" hidden="false" customHeight="false" outlineLevel="0" collapsed="false">
      <c r="A461" s="79" t="n">
        <v>460</v>
      </c>
      <c r="B461" s="79" t="s">
        <v>5</v>
      </c>
      <c r="C461" s="79" t="s">
        <v>2070</v>
      </c>
      <c r="D461" s="79" t="s">
        <v>2071</v>
      </c>
      <c r="E461" s="80" t="s">
        <v>2072</v>
      </c>
      <c r="F461" s="79" t="s">
        <v>2073</v>
      </c>
      <c r="G461" s="79" t="s">
        <v>72</v>
      </c>
      <c r="H461" s="79"/>
    </row>
    <row r="462" customFormat="false" ht="15" hidden="false" customHeight="false" outlineLevel="0" collapsed="false">
      <c r="A462" s="79" t="n">
        <v>461</v>
      </c>
      <c r="B462" s="79" t="s">
        <v>5</v>
      </c>
      <c r="C462" s="79" t="s">
        <v>2074</v>
      </c>
      <c r="D462" s="79" t="s">
        <v>2075</v>
      </c>
      <c r="E462" s="80" t="s">
        <v>2076</v>
      </c>
      <c r="F462" s="79" t="s">
        <v>2077</v>
      </c>
      <c r="G462" s="79" t="s">
        <v>72</v>
      </c>
      <c r="H462" s="79"/>
    </row>
    <row r="463" customFormat="false" ht="15" hidden="false" customHeight="false" outlineLevel="0" collapsed="false">
      <c r="A463" s="79" t="n">
        <v>462</v>
      </c>
      <c r="B463" s="79" t="s">
        <v>5</v>
      </c>
      <c r="C463" s="79" t="s">
        <v>2078</v>
      </c>
      <c r="D463" s="79" t="s">
        <v>2079</v>
      </c>
      <c r="E463" s="80" t="s">
        <v>2080</v>
      </c>
      <c r="F463" s="79" t="s">
        <v>2081</v>
      </c>
      <c r="G463" s="79" t="s">
        <v>72</v>
      </c>
      <c r="H463" s="79"/>
    </row>
    <row r="464" customFormat="false" ht="15" hidden="false" customHeight="false" outlineLevel="0" collapsed="false">
      <c r="A464" s="79" t="n">
        <v>463</v>
      </c>
      <c r="B464" s="79" t="s">
        <v>5</v>
      </c>
      <c r="C464" s="79" t="s">
        <v>2082</v>
      </c>
      <c r="D464" s="79" t="s">
        <v>2083</v>
      </c>
      <c r="E464" s="80" t="s">
        <v>2084</v>
      </c>
      <c r="F464" s="79" t="s">
        <v>2085</v>
      </c>
      <c r="G464" s="79" t="s">
        <v>72</v>
      </c>
      <c r="H464" s="79"/>
    </row>
    <row r="465" customFormat="false" ht="15" hidden="false" customHeight="false" outlineLevel="0" collapsed="false">
      <c r="A465" s="79" t="n">
        <v>464</v>
      </c>
      <c r="B465" s="79" t="s">
        <v>5</v>
      </c>
      <c r="C465" s="79" t="s">
        <v>2086</v>
      </c>
      <c r="D465" s="79" t="s">
        <v>2087</v>
      </c>
      <c r="E465" s="80" t="s">
        <v>2088</v>
      </c>
      <c r="F465" s="79" t="s">
        <v>2089</v>
      </c>
      <c r="G465" s="79" t="s">
        <v>72</v>
      </c>
      <c r="H465" s="79"/>
    </row>
    <row r="466" customFormat="false" ht="15" hidden="false" customHeight="false" outlineLevel="0" collapsed="false">
      <c r="A466" s="79" t="n">
        <v>465</v>
      </c>
      <c r="B466" s="79" t="s">
        <v>5</v>
      </c>
      <c r="C466" s="79" t="s">
        <v>2090</v>
      </c>
      <c r="D466" s="79" t="s">
        <v>2091</v>
      </c>
      <c r="E466" s="80" t="s">
        <v>2092</v>
      </c>
      <c r="F466" s="79" t="s">
        <v>1378</v>
      </c>
      <c r="G466" s="79" t="s">
        <v>72</v>
      </c>
      <c r="H466" s="79"/>
    </row>
    <row r="467" customFormat="false" ht="15" hidden="false" customHeight="false" outlineLevel="0" collapsed="false">
      <c r="A467" s="79" t="n">
        <v>466</v>
      </c>
      <c r="B467" s="79" t="s">
        <v>5</v>
      </c>
      <c r="C467" s="79" t="s">
        <v>2093</v>
      </c>
      <c r="D467" s="79" t="s">
        <v>2094</v>
      </c>
      <c r="E467" s="80" t="s">
        <v>2095</v>
      </c>
      <c r="F467" s="79" t="s">
        <v>2096</v>
      </c>
      <c r="G467" s="79" t="s">
        <v>72</v>
      </c>
      <c r="H467" s="79"/>
    </row>
    <row r="468" customFormat="false" ht="15" hidden="false" customHeight="false" outlineLevel="0" collapsed="false">
      <c r="A468" s="79" t="n">
        <v>467</v>
      </c>
      <c r="B468" s="79" t="s">
        <v>5</v>
      </c>
      <c r="C468" s="79" t="s">
        <v>2097</v>
      </c>
      <c r="D468" s="79" t="s">
        <v>2098</v>
      </c>
      <c r="E468" s="80" t="s">
        <v>2099</v>
      </c>
      <c r="F468" s="79" t="s">
        <v>2100</v>
      </c>
      <c r="G468" s="79" t="s">
        <v>72</v>
      </c>
      <c r="H468" s="79"/>
    </row>
    <row r="469" customFormat="false" ht="15" hidden="false" customHeight="false" outlineLevel="0" collapsed="false">
      <c r="A469" s="79" t="n">
        <v>468</v>
      </c>
      <c r="B469" s="79" t="s">
        <v>5</v>
      </c>
      <c r="C469" s="79" t="s">
        <v>2101</v>
      </c>
      <c r="D469" s="79" t="s">
        <v>2102</v>
      </c>
      <c r="E469" s="80" t="s">
        <v>2103</v>
      </c>
      <c r="F469" s="79" t="s">
        <v>732</v>
      </c>
      <c r="G469" s="79" t="s">
        <v>72</v>
      </c>
      <c r="H469" s="79"/>
    </row>
    <row r="470" customFormat="false" ht="15" hidden="false" customHeight="false" outlineLevel="0" collapsed="false">
      <c r="A470" s="79" t="n">
        <v>469</v>
      </c>
      <c r="B470" s="79" t="s">
        <v>5</v>
      </c>
      <c r="C470" s="79" t="s">
        <v>2104</v>
      </c>
      <c r="D470" s="79" t="s">
        <v>2105</v>
      </c>
      <c r="E470" s="80" t="s">
        <v>2106</v>
      </c>
      <c r="F470" s="79" t="s">
        <v>2107</v>
      </c>
      <c r="G470" s="79" t="s">
        <v>72</v>
      </c>
      <c r="H470" s="79"/>
    </row>
    <row r="471" customFormat="false" ht="15" hidden="false" customHeight="false" outlineLevel="0" collapsed="false">
      <c r="A471" s="79" t="n">
        <v>470</v>
      </c>
      <c r="B471" s="79" t="s">
        <v>5</v>
      </c>
      <c r="C471" s="79" t="s">
        <v>2108</v>
      </c>
      <c r="D471" s="79" t="s">
        <v>2109</v>
      </c>
      <c r="E471" s="80" t="s">
        <v>2110</v>
      </c>
      <c r="F471" s="79" t="s">
        <v>2111</v>
      </c>
      <c r="G471" s="79" t="s">
        <v>72</v>
      </c>
      <c r="H471" s="79" t="s">
        <v>845</v>
      </c>
    </row>
    <row r="472" customFormat="false" ht="15" hidden="false" customHeight="false" outlineLevel="0" collapsed="false">
      <c r="A472" s="79" t="n">
        <v>471</v>
      </c>
      <c r="B472" s="79" t="s">
        <v>5</v>
      </c>
      <c r="C472" s="79" t="s">
        <v>2112</v>
      </c>
      <c r="D472" s="79" t="s">
        <v>2113</v>
      </c>
      <c r="E472" s="80" t="s">
        <v>2114</v>
      </c>
      <c r="F472" s="79" t="s">
        <v>2115</v>
      </c>
      <c r="G472" s="79" t="s">
        <v>72</v>
      </c>
      <c r="H472" s="79"/>
    </row>
    <row r="473" customFormat="false" ht="15" hidden="false" customHeight="false" outlineLevel="0" collapsed="false">
      <c r="A473" s="79" t="n">
        <v>472</v>
      </c>
      <c r="B473" s="79" t="s">
        <v>5</v>
      </c>
      <c r="C473" s="79" t="s">
        <v>2116</v>
      </c>
      <c r="D473" s="79" t="s">
        <v>2117</v>
      </c>
      <c r="E473" s="80" t="s">
        <v>2118</v>
      </c>
      <c r="F473" s="79" t="s">
        <v>2119</v>
      </c>
      <c r="G473" s="79" t="s">
        <v>72</v>
      </c>
      <c r="H473" s="79"/>
    </row>
    <row r="474" customFormat="false" ht="15" hidden="false" customHeight="false" outlineLevel="0" collapsed="false">
      <c r="A474" s="79" t="n">
        <v>473</v>
      </c>
      <c r="B474" s="79" t="s">
        <v>5</v>
      </c>
      <c r="C474" s="79" t="s">
        <v>2120</v>
      </c>
      <c r="D474" s="79" t="s">
        <v>2121</v>
      </c>
      <c r="E474" s="80" t="s">
        <v>2122</v>
      </c>
      <c r="F474" s="79" t="s">
        <v>2123</v>
      </c>
      <c r="G474" s="79" t="s">
        <v>72</v>
      </c>
      <c r="H474" s="79"/>
    </row>
    <row r="475" customFormat="false" ht="15" hidden="false" customHeight="false" outlineLevel="0" collapsed="false">
      <c r="A475" s="79" t="n">
        <v>474</v>
      </c>
      <c r="B475" s="79" t="s">
        <v>5</v>
      </c>
      <c r="C475" s="79" t="s">
        <v>2124</v>
      </c>
      <c r="D475" s="79" t="s">
        <v>2125</v>
      </c>
      <c r="E475" s="80" t="s">
        <v>2126</v>
      </c>
      <c r="F475" s="79" t="s">
        <v>2127</v>
      </c>
      <c r="G475" s="79" t="s">
        <v>72</v>
      </c>
      <c r="H475" s="79"/>
    </row>
    <row r="476" customFormat="false" ht="15" hidden="false" customHeight="false" outlineLevel="0" collapsed="false">
      <c r="A476" s="79" t="n">
        <v>475</v>
      </c>
      <c r="B476" s="79" t="s">
        <v>5</v>
      </c>
      <c r="C476" s="79" t="s">
        <v>2128</v>
      </c>
      <c r="D476" s="79" t="s">
        <v>2129</v>
      </c>
      <c r="E476" s="80" t="s">
        <v>2130</v>
      </c>
      <c r="F476" s="79" t="s">
        <v>2131</v>
      </c>
      <c r="G476" s="79" t="s">
        <v>72</v>
      </c>
      <c r="H476" s="79"/>
    </row>
    <row r="477" customFormat="false" ht="15" hidden="false" customHeight="false" outlineLevel="0" collapsed="false">
      <c r="A477" s="79" t="n">
        <v>476</v>
      </c>
      <c r="B477" s="79" t="s">
        <v>5</v>
      </c>
      <c r="C477" s="79" t="s">
        <v>2132</v>
      </c>
      <c r="D477" s="79" t="s">
        <v>2133</v>
      </c>
      <c r="E477" s="80" t="s">
        <v>2134</v>
      </c>
      <c r="F477" s="79" t="s">
        <v>2135</v>
      </c>
      <c r="G477" s="79" t="s">
        <v>72</v>
      </c>
      <c r="H477" s="79"/>
    </row>
    <row r="478" customFormat="false" ht="15" hidden="false" customHeight="false" outlineLevel="0" collapsed="false">
      <c r="A478" s="79" t="n">
        <v>477</v>
      </c>
      <c r="B478" s="79" t="s">
        <v>5</v>
      </c>
      <c r="C478" s="79" t="s">
        <v>2136</v>
      </c>
      <c r="D478" s="79" t="s">
        <v>2137</v>
      </c>
      <c r="E478" s="80" t="s">
        <v>2138</v>
      </c>
      <c r="F478" s="79" t="s">
        <v>2139</v>
      </c>
      <c r="G478" s="79" t="s">
        <v>72</v>
      </c>
      <c r="H478" s="79" t="s">
        <v>845</v>
      </c>
    </row>
    <row r="479" customFormat="false" ht="15" hidden="false" customHeight="false" outlineLevel="0" collapsed="false">
      <c r="A479" s="79" t="n">
        <v>478</v>
      </c>
      <c r="B479" s="79" t="s">
        <v>5</v>
      </c>
      <c r="C479" s="79" t="s">
        <v>2140</v>
      </c>
      <c r="D479" s="79" t="s">
        <v>2141</v>
      </c>
      <c r="E479" s="80" t="s">
        <v>2142</v>
      </c>
      <c r="F479" s="79" t="s">
        <v>2143</v>
      </c>
      <c r="G479" s="79" t="s">
        <v>72</v>
      </c>
      <c r="H479" s="79" t="s">
        <v>845</v>
      </c>
    </row>
    <row r="480" customFormat="false" ht="15" hidden="false" customHeight="false" outlineLevel="0" collapsed="false">
      <c r="A480" s="79" t="n">
        <v>479</v>
      </c>
      <c r="B480" s="79" t="s">
        <v>5</v>
      </c>
      <c r="C480" s="79" t="s">
        <v>2144</v>
      </c>
      <c r="D480" s="79" t="s">
        <v>2145</v>
      </c>
      <c r="E480" s="80" t="s">
        <v>2146</v>
      </c>
      <c r="F480" s="79" t="s">
        <v>419</v>
      </c>
      <c r="G480" s="79" t="s">
        <v>72</v>
      </c>
      <c r="H480" s="79"/>
    </row>
    <row r="481" customFormat="false" ht="15" hidden="false" customHeight="false" outlineLevel="0" collapsed="false">
      <c r="A481" s="79" t="n">
        <v>480</v>
      </c>
      <c r="B481" s="79" t="s">
        <v>5</v>
      </c>
      <c r="C481" s="79" t="s">
        <v>2147</v>
      </c>
      <c r="D481" s="79" t="s">
        <v>411</v>
      </c>
      <c r="E481" s="80" t="s">
        <v>2148</v>
      </c>
      <c r="F481" s="79" t="s">
        <v>2149</v>
      </c>
      <c r="G481" s="79" t="s">
        <v>72</v>
      </c>
      <c r="H481" s="79"/>
    </row>
    <row r="482" customFormat="false" ht="15" hidden="false" customHeight="false" outlineLevel="0" collapsed="false">
      <c r="A482" s="79" t="n">
        <v>481</v>
      </c>
      <c r="B482" s="79" t="s">
        <v>5</v>
      </c>
      <c r="C482" s="79" t="s">
        <v>2150</v>
      </c>
      <c r="D482" s="79" t="s">
        <v>2151</v>
      </c>
      <c r="E482" s="80" t="s">
        <v>2152</v>
      </c>
      <c r="F482" s="79" t="s">
        <v>2153</v>
      </c>
      <c r="G482" s="79" t="s">
        <v>72</v>
      </c>
      <c r="H482" s="79"/>
    </row>
    <row r="483" customFormat="false" ht="15" hidden="false" customHeight="false" outlineLevel="0" collapsed="false">
      <c r="A483" s="79" t="n">
        <v>482</v>
      </c>
      <c r="B483" s="79" t="s">
        <v>5</v>
      </c>
      <c r="C483" s="79" t="s">
        <v>2154</v>
      </c>
      <c r="D483" s="79" t="s">
        <v>2155</v>
      </c>
      <c r="E483" s="80" t="s">
        <v>2156</v>
      </c>
      <c r="F483" s="79" t="s">
        <v>2157</v>
      </c>
      <c r="G483" s="79" t="s">
        <v>72</v>
      </c>
      <c r="H483" s="79"/>
    </row>
    <row r="484" customFormat="false" ht="15" hidden="false" customHeight="false" outlineLevel="0" collapsed="false">
      <c r="A484" s="79" t="n">
        <v>483</v>
      </c>
      <c r="B484" s="79" t="s">
        <v>5</v>
      </c>
      <c r="C484" s="79" t="s">
        <v>2158</v>
      </c>
      <c r="D484" s="79" t="s">
        <v>2159</v>
      </c>
      <c r="E484" s="80" t="s">
        <v>2160</v>
      </c>
      <c r="F484" s="79" t="s">
        <v>946</v>
      </c>
      <c r="G484" s="79" t="s">
        <v>72</v>
      </c>
      <c r="H484" s="79" t="s">
        <v>2161</v>
      </c>
    </row>
    <row r="485" customFormat="false" ht="15" hidden="false" customHeight="false" outlineLevel="0" collapsed="false">
      <c r="A485" s="79" t="n">
        <v>484</v>
      </c>
      <c r="B485" s="79" t="s">
        <v>5</v>
      </c>
      <c r="C485" s="79" t="s">
        <v>2162</v>
      </c>
      <c r="D485" s="79" t="s">
        <v>2163</v>
      </c>
      <c r="E485" s="80" t="s">
        <v>2164</v>
      </c>
      <c r="F485" s="79" t="s">
        <v>2165</v>
      </c>
      <c r="G485" s="79" t="s">
        <v>72</v>
      </c>
      <c r="H485" s="79"/>
    </row>
    <row r="486" customFormat="false" ht="15" hidden="false" customHeight="false" outlineLevel="0" collapsed="false">
      <c r="A486" s="79" t="n">
        <v>485</v>
      </c>
      <c r="B486" s="79" t="s">
        <v>5</v>
      </c>
      <c r="C486" s="79" t="s">
        <v>2166</v>
      </c>
      <c r="D486" s="79" t="s">
        <v>2167</v>
      </c>
      <c r="E486" s="80" t="s">
        <v>2168</v>
      </c>
      <c r="F486" s="79" t="s">
        <v>2169</v>
      </c>
      <c r="G486" s="79" t="s">
        <v>74</v>
      </c>
      <c r="H486" s="79" t="s">
        <v>845</v>
      </c>
    </row>
    <row r="487" customFormat="false" ht="15" hidden="false" customHeight="false" outlineLevel="0" collapsed="false">
      <c r="A487" s="79" t="n">
        <v>486</v>
      </c>
      <c r="B487" s="79" t="s">
        <v>5</v>
      </c>
      <c r="C487" s="79" t="s">
        <v>2170</v>
      </c>
      <c r="D487" s="79" t="s">
        <v>2171</v>
      </c>
      <c r="E487" s="80" t="s">
        <v>2172</v>
      </c>
      <c r="F487" s="79" t="s">
        <v>2173</v>
      </c>
      <c r="G487" s="79" t="s">
        <v>74</v>
      </c>
      <c r="H487" s="79"/>
    </row>
    <row r="488" customFormat="false" ht="15" hidden="false" customHeight="false" outlineLevel="0" collapsed="false">
      <c r="A488" s="79" t="n">
        <v>487</v>
      </c>
      <c r="B488" s="79" t="s">
        <v>5</v>
      </c>
      <c r="C488" s="79" t="s">
        <v>2174</v>
      </c>
      <c r="D488" s="79" t="s">
        <v>2175</v>
      </c>
      <c r="E488" s="80" t="s">
        <v>2176</v>
      </c>
      <c r="F488" s="79" t="s">
        <v>2177</v>
      </c>
      <c r="G488" s="79" t="s">
        <v>74</v>
      </c>
      <c r="H488" s="79" t="s">
        <v>845</v>
      </c>
    </row>
    <row r="489" customFormat="false" ht="15" hidden="false" customHeight="false" outlineLevel="0" collapsed="false">
      <c r="A489" s="79" t="n">
        <v>488</v>
      </c>
      <c r="B489" s="79" t="s">
        <v>5</v>
      </c>
      <c r="C489" s="79" t="s">
        <v>2178</v>
      </c>
      <c r="D489" s="79" t="s">
        <v>2179</v>
      </c>
      <c r="E489" s="80" t="s">
        <v>2180</v>
      </c>
      <c r="F489" s="79" t="s">
        <v>2181</v>
      </c>
      <c r="G489" s="79" t="s">
        <v>74</v>
      </c>
      <c r="H489" s="79"/>
    </row>
    <row r="490" customFormat="false" ht="15" hidden="false" customHeight="false" outlineLevel="0" collapsed="false">
      <c r="A490" s="79" t="n">
        <v>489</v>
      </c>
      <c r="B490" s="79" t="s">
        <v>5</v>
      </c>
      <c r="C490" s="79" t="s">
        <v>2182</v>
      </c>
      <c r="D490" s="79" t="s">
        <v>2183</v>
      </c>
      <c r="E490" s="80" t="s">
        <v>2184</v>
      </c>
      <c r="F490" s="79" t="s">
        <v>2185</v>
      </c>
      <c r="G490" s="79" t="s">
        <v>74</v>
      </c>
      <c r="H490" s="79"/>
    </row>
    <row r="491" customFormat="false" ht="15" hidden="false" customHeight="false" outlineLevel="0" collapsed="false">
      <c r="A491" s="79" t="n">
        <v>490</v>
      </c>
      <c r="B491" s="79" t="s">
        <v>5</v>
      </c>
      <c r="C491" s="79" t="s">
        <v>2186</v>
      </c>
      <c r="D491" s="79" t="s">
        <v>2187</v>
      </c>
      <c r="E491" s="80" t="s">
        <v>2188</v>
      </c>
      <c r="F491" s="79" t="s">
        <v>2189</v>
      </c>
      <c r="G491" s="79" t="s">
        <v>74</v>
      </c>
      <c r="H491" s="79"/>
    </row>
    <row r="492" customFormat="false" ht="15" hidden="false" customHeight="false" outlineLevel="0" collapsed="false">
      <c r="A492" s="79" t="n">
        <v>491</v>
      </c>
      <c r="B492" s="79" t="s">
        <v>5</v>
      </c>
      <c r="C492" s="79" t="s">
        <v>2190</v>
      </c>
      <c r="D492" s="79" t="s">
        <v>2191</v>
      </c>
      <c r="E492" s="80" t="s">
        <v>2192</v>
      </c>
      <c r="F492" s="79" t="s">
        <v>2193</v>
      </c>
      <c r="G492" s="79" t="s">
        <v>74</v>
      </c>
      <c r="H492" s="79" t="s">
        <v>845</v>
      </c>
    </row>
    <row r="493" customFormat="false" ht="15" hidden="false" customHeight="false" outlineLevel="0" collapsed="false">
      <c r="A493" s="79" t="n">
        <v>492</v>
      </c>
      <c r="B493" s="79" t="s">
        <v>5</v>
      </c>
      <c r="C493" s="79" t="s">
        <v>2194</v>
      </c>
      <c r="D493" s="79" t="s">
        <v>2195</v>
      </c>
      <c r="E493" s="80" t="s">
        <v>2196</v>
      </c>
      <c r="F493" s="79" t="s">
        <v>2197</v>
      </c>
      <c r="G493" s="79" t="s">
        <v>74</v>
      </c>
      <c r="H493" s="79"/>
    </row>
    <row r="494" customFormat="false" ht="15" hidden="false" customHeight="false" outlineLevel="0" collapsed="false">
      <c r="A494" s="79" t="n">
        <v>493</v>
      </c>
      <c r="B494" s="79" t="s">
        <v>5</v>
      </c>
      <c r="C494" s="79" t="s">
        <v>781</v>
      </c>
      <c r="D494" s="79" t="s">
        <v>2198</v>
      </c>
      <c r="E494" s="80" t="s">
        <v>2199</v>
      </c>
      <c r="F494" s="79" t="s">
        <v>2200</v>
      </c>
      <c r="G494" s="79" t="s">
        <v>74</v>
      </c>
      <c r="H494" s="79"/>
    </row>
    <row r="495" customFormat="false" ht="15" hidden="false" customHeight="false" outlineLevel="0" collapsed="false">
      <c r="A495" s="79" t="n">
        <v>494</v>
      </c>
      <c r="B495" s="79" t="s">
        <v>5</v>
      </c>
      <c r="C495" s="79" t="s">
        <v>2201</v>
      </c>
      <c r="D495" s="79" t="s">
        <v>2202</v>
      </c>
      <c r="E495" s="80" t="s">
        <v>2203</v>
      </c>
      <c r="F495" s="79" t="s">
        <v>2204</v>
      </c>
      <c r="G495" s="79" t="s">
        <v>74</v>
      </c>
      <c r="H495" s="79" t="s">
        <v>845</v>
      </c>
    </row>
    <row r="496" customFormat="false" ht="15" hidden="false" customHeight="false" outlineLevel="0" collapsed="false">
      <c r="A496" s="79" t="n">
        <v>495</v>
      </c>
      <c r="B496" s="79" t="s">
        <v>5</v>
      </c>
      <c r="C496" s="79" t="s">
        <v>2205</v>
      </c>
      <c r="D496" s="79" t="s">
        <v>2206</v>
      </c>
      <c r="E496" s="80" t="s">
        <v>2207</v>
      </c>
      <c r="F496" s="79" t="s">
        <v>2208</v>
      </c>
      <c r="G496" s="79" t="s">
        <v>74</v>
      </c>
      <c r="H496" s="79" t="s">
        <v>845</v>
      </c>
    </row>
    <row r="497" customFormat="false" ht="15" hidden="false" customHeight="false" outlineLevel="0" collapsed="false">
      <c r="A497" s="79" t="n">
        <v>496</v>
      </c>
      <c r="B497" s="79" t="s">
        <v>5</v>
      </c>
      <c r="C497" s="79" t="s">
        <v>2209</v>
      </c>
      <c r="D497" s="79" t="s">
        <v>2210</v>
      </c>
      <c r="E497" s="80" t="s">
        <v>2211</v>
      </c>
      <c r="F497" s="79" t="s">
        <v>2212</v>
      </c>
      <c r="G497" s="79" t="s">
        <v>74</v>
      </c>
      <c r="H497" s="79" t="s">
        <v>845</v>
      </c>
    </row>
    <row r="498" customFormat="false" ht="15" hidden="false" customHeight="false" outlineLevel="0" collapsed="false">
      <c r="A498" s="79" t="n">
        <v>497</v>
      </c>
      <c r="B498" s="79" t="s">
        <v>5</v>
      </c>
      <c r="C498" s="79" t="s">
        <v>2213</v>
      </c>
      <c r="D498" s="79" t="s">
        <v>2214</v>
      </c>
      <c r="E498" s="80" t="s">
        <v>2215</v>
      </c>
      <c r="F498" s="79" t="s">
        <v>2216</v>
      </c>
      <c r="G498" s="79" t="s">
        <v>74</v>
      </c>
      <c r="H498" s="79"/>
    </row>
    <row r="499" customFormat="false" ht="15" hidden="false" customHeight="false" outlineLevel="0" collapsed="false">
      <c r="A499" s="79" t="n">
        <v>498</v>
      </c>
      <c r="B499" s="79" t="s">
        <v>5</v>
      </c>
      <c r="C499" s="79" t="s">
        <v>2217</v>
      </c>
      <c r="D499" s="79" t="s">
        <v>2218</v>
      </c>
      <c r="E499" s="80" t="s">
        <v>2219</v>
      </c>
      <c r="F499" s="79" t="s">
        <v>2220</v>
      </c>
      <c r="G499" s="79" t="s">
        <v>76</v>
      </c>
      <c r="H499" s="79" t="s">
        <v>845</v>
      </c>
    </row>
    <row r="500" customFormat="false" ht="15" hidden="false" customHeight="false" outlineLevel="0" collapsed="false">
      <c r="A500" s="79" t="n">
        <v>499</v>
      </c>
      <c r="B500" s="79" t="s">
        <v>5</v>
      </c>
      <c r="C500" s="79" t="s">
        <v>2221</v>
      </c>
      <c r="D500" s="79" t="s">
        <v>2222</v>
      </c>
      <c r="E500" s="80" t="s">
        <v>2223</v>
      </c>
      <c r="F500" s="79" t="s">
        <v>2224</v>
      </c>
      <c r="G500" s="79" t="s">
        <v>76</v>
      </c>
      <c r="H500" s="79" t="s">
        <v>845</v>
      </c>
    </row>
    <row r="501" customFormat="false" ht="15" hidden="false" customHeight="false" outlineLevel="0" collapsed="false">
      <c r="A501" s="79" t="n">
        <v>500</v>
      </c>
      <c r="B501" s="79" t="s">
        <v>5</v>
      </c>
      <c r="C501" s="79" t="s">
        <v>2225</v>
      </c>
      <c r="D501" s="79" t="s">
        <v>2226</v>
      </c>
      <c r="E501" s="80" t="s">
        <v>2227</v>
      </c>
      <c r="F501" s="79" t="s">
        <v>2228</v>
      </c>
      <c r="G501" s="79" t="s">
        <v>76</v>
      </c>
      <c r="H501" s="79" t="s">
        <v>2229</v>
      </c>
    </row>
    <row r="502" customFormat="false" ht="15" hidden="false" customHeight="false" outlineLevel="0" collapsed="false">
      <c r="A502" s="79" t="n">
        <v>501</v>
      </c>
      <c r="B502" s="79" t="s">
        <v>5</v>
      </c>
      <c r="C502" s="79" t="s">
        <v>2230</v>
      </c>
      <c r="D502" s="79" t="s">
        <v>2231</v>
      </c>
      <c r="E502" s="80" t="s">
        <v>2232</v>
      </c>
      <c r="F502" s="79" t="s">
        <v>2233</v>
      </c>
      <c r="G502" s="79" t="s">
        <v>76</v>
      </c>
      <c r="H502" s="79" t="s">
        <v>845</v>
      </c>
    </row>
    <row r="503" customFormat="false" ht="15" hidden="false" customHeight="false" outlineLevel="0" collapsed="false">
      <c r="A503" s="79" t="n">
        <v>502</v>
      </c>
      <c r="B503" s="79" t="s">
        <v>5</v>
      </c>
      <c r="C503" s="79" t="s">
        <v>2234</v>
      </c>
      <c r="D503" s="79" t="s">
        <v>2235</v>
      </c>
      <c r="E503" s="80" t="s">
        <v>2236</v>
      </c>
      <c r="F503" s="79" t="s">
        <v>2237</v>
      </c>
      <c r="G503" s="79" t="s">
        <v>76</v>
      </c>
      <c r="H503" s="79" t="s">
        <v>845</v>
      </c>
    </row>
    <row r="504" customFormat="false" ht="15" hidden="false" customHeight="false" outlineLevel="0" collapsed="false">
      <c r="A504" s="79" t="n">
        <v>503</v>
      </c>
      <c r="B504" s="79" t="s">
        <v>5</v>
      </c>
      <c r="C504" s="79" t="s">
        <v>2238</v>
      </c>
      <c r="D504" s="79" t="s">
        <v>2239</v>
      </c>
      <c r="E504" s="80" t="s">
        <v>2240</v>
      </c>
      <c r="F504" s="79" t="s">
        <v>2241</v>
      </c>
      <c r="G504" s="79" t="s">
        <v>76</v>
      </c>
      <c r="H504" s="79" t="s">
        <v>845</v>
      </c>
    </row>
    <row r="505" customFormat="false" ht="15" hidden="false" customHeight="false" outlineLevel="0" collapsed="false">
      <c r="A505" s="79" t="n">
        <v>504</v>
      </c>
      <c r="B505" s="79" t="s">
        <v>5</v>
      </c>
      <c r="C505" s="79" t="s">
        <v>2242</v>
      </c>
      <c r="D505" s="79" t="s">
        <v>2243</v>
      </c>
      <c r="E505" s="80" t="s">
        <v>2244</v>
      </c>
      <c r="F505" s="79" t="s">
        <v>2245</v>
      </c>
      <c r="G505" s="79" t="s">
        <v>76</v>
      </c>
      <c r="H505" s="79"/>
    </row>
    <row r="506" customFormat="false" ht="15" hidden="false" customHeight="false" outlineLevel="0" collapsed="false">
      <c r="A506" s="79" t="n">
        <v>505</v>
      </c>
      <c r="B506" s="79" t="s">
        <v>5</v>
      </c>
      <c r="C506" s="79" t="s">
        <v>2246</v>
      </c>
      <c r="D506" s="79" t="s">
        <v>2247</v>
      </c>
      <c r="E506" s="80" t="s">
        <v>2248</v>
      </c>
      <c r="F506" s="79" t="s">
        <v>2249</v>
      </c>
      <c r="G506" s="79" t="s">
        <v>76</v>
      </c>
      <c r="H506" s="79" t="s">
        <v>845</v>
      </c>
    </row>
    <row r="507" customFormat="false" ht="15" hidden="false" customHeight="false" outlineLevel="0" collapsed="false">
      <c r="A507" s="79" t="n">
        <v>506</v>
      </c>
      <c r="B507" s="79" t="s">
        <v>5</v>
      </c>
      <c r="C507" s="79" t="s">
        <v>2250</v>
      </c>
      <c r="D507" s="79" t="s">
        <v>2251</v>
      </c>
      <c r="E507" s="80" t="s">
        <v>2252</v>
      </c>
      <c r="F507" s="79" t="s">
        <v>2253</v>
      </c>
      <c r="G507" s="79" t="s">
        <v>76</v>
      </c>
      <c r="H507" s="79" t="s">
        <v>845</v>
      </c>
    </row>
    <row r="508" customFormat="false" ht="15" hidden="false" customHeight="false" outlineLevel="0" collapsed="false">
      <c r="A508" s="79" t="n">
        <v>507</v>
      </c>
      <c r="B508" s="79" t="s">
        <v>5</v>
      </c>
      <c r="C508" s="79" t="s">
        <v>2254</v>
      </c>
      <c r="D508" s="79" t="s">
        <v>2255</v>
      </c>
      <c r="E508" s="80" t="s">
        <v>2256</v>
      </c>
      <c r="F508" s="79" t="s">
        <v>2257</v>
      </c>
      <c r="G508" s="79" t="s">
        <v>76</v>
      </c>
      <c r="H508" s="79" t="s">
        <v>845</v>
      </c>
    </row>
    <row r="509" customFormat="false" ht="15" hidden="false" customHeight="false" outlineLevel="0" collapsed="false">
      <c r="A509" s="79" t="n">
        <v>508</v>
      </c>
      <c r="B509" s="79" t="s">
        <v>5</v>
      </c>
      <c r="C509" s="79" t="s">
        <v>2258</v>
      </c>
      <c r="D509" s="79" t="s">
        <v>2259</v>
      </c>
      <c r="E509" s="80" t="s">
        <v>2260</v>
      </c>
      <c r="F509" s="79" t="s">
        <v>2261</v>
      </c>
      <c r="G509" s="79" t="s">
        <v>76</v>
      </c>
      <c r="H509" s="79" t="s">
        <v>845</v>
      </c>
    </row>
    <row r="510" customFormat="false" ht="15" hidden="false" customHeight="false" outlineLevel="0" collapsed="false">
      <c r="A510" s="79" t="n">
        <v>509</v>
      </c>
      <c r="B510" s="79" t="s">
        <v>5</v>
      </c>
      <c r="C510" s="79" t="s">
        <v>2262</v>
      </c>
      <c r="D510" s="79" t="s">
        <v>2263</v>
      </c>
      <c r="E510" s="80" t="s">
        <v>2264</v>
      </c>
      <c r="F510" s="79" t="s">
        <v>2265</v>
      </c>
      <c r="G510" s="79" t="s">
        <v>76</v>
      </c>
      <c r="H510" s="79" t="s">
        <v>845</v>
      </c>
    </row>
    <row r="511" customFormat="false" ht="15" hidden="false" customHeight="false" outlineLevel="0" collapsed="false">
      <c r="A511" s="79" t="n">
        <v>510</v>
      </c>
      <c r="B511" s="79" t="s">
        <v>5</v>
      </c>
      <c r="C511" s="79" t="s">
        <v>2266</v>
      </c>
      <c r="D511" s="79" t="s">
        <v>2267</v>
      </c>
      <c r="E511" s="80" t="s">
        <v>2268</v>
      </c>
      <c r="F511" s="79" t="s">
        <v>2269</v>
      </c>
      <c r="G511" s="79" t="s">
        <v>76</v>
      </c>
      <c r="H511" s="79" t="s">
        <v>845</v>
      </c>
    </row>
    <row r="512" customFormat="false" ht="15" hidden="false" customHeight="false" outlineLevel="0" collapsed="false">
      <c r="A512" s="79" t="n">
        <v>511</v>
      </c>
      <c r="B512" s="79" t="s">
        <v>5</v>
      </c>
      <c r="C512" s="79" t="s">
        <v>2270</v>
      </c>
      <c r="D512" s="79" t="s">
        <v>2271</v>
      </c>
      <c r="E512" s="80" t="s">
        <v>2272</v>
      </c>
      <c r="F512" s="79" t="s">
        <v>2273</v>
      </c>
      <c r="G512" s="79" t="s">
        <v>76</v>
      </c>
      <c r="H512" s="79" t="s">
        <v>845</v>
      </c>
    </row>
    <row r="513" customFormat="false" ht="15" hidden="false" customHeight="false" outlineLevel="0" collapsed="false">
      <c r="A513" s="79" t="n">
        <v>512</v>
      </c>
      <c r="B513" s="79" t="s">
        <v>5</v>
      </c>
      <c r="C513" s="79" t="s">
        <v>2274</v>
      </c>
      <c r="D513" s="79" t="s">
        <v>2275</v>
      </c>
      <c r="E513" s="80" t="s">
        <v>2276</v>
      </c>
      <c r="F513" s="79" t="s">
        <v>2277</v>
      </c>
      <c r="G513" s="79" t="s">
        <v>76</v>
      </c>
      <c r="H513" s="79"/>
    </row>
    <row r="514" customFormat="false" ht="15" hidden="false" customHeight="false" outlineLevel="0" collapsed="false">
      <c r="A514" s="79" t="n">
        <v>513</v>
      </c>
      <c r="B514" s="79" t="s">
        <v>5</v>
      </c>
      <c r="C514" s="79" t="s">
        <v>2278</v>
      </c>
      <c r="D514" s="79" t="s">
        <v>2279</v>
      </c>
      <c r="E514" s="80" t="s">
        <v>2280</v>
      </c>
      <c r="F514" s="79" t="s">
        <v>2281</v>
      </c>
      <c r="G514" s="79" t="s">
        <v>76</v>
      </c>
      <c r="H514" s="79" t="s">
        <v>845</v>
      </c>
    </row>
    <row r="515" customFormat="false" ht="15" hidden="false" customHeight="false" outlineLevel="0" collapsed="false">
      <c r="A515" s="79" t="n">
        <v>514</v>
      </c>
      <c r="B515" s="79" t="s">
        <v>5</v>
      </c>
      <c r="C515" s="79" t="s">
        <v>2282</v>
      </c>
      <c r="D515" s="79" t="s">
        <v>2283</v>
      </c>
      <c r="E515" s="80" t="s">
        <v>2284</v>
      </c>
      <c r="F515" s="79" t="s">
        <v>2285</v>
      </c>
      <c r="G515" s="79" t="s">
        <v>76</v>
      </c>
      <c r="H515" s="79" t="s">
        <v>845</v>
      </c>
    </row>
    <row r="516" customFormat="false" ht="15" hidden="false" customHeight="false" outlineLevel="0" collapsed="false">
      <c r="A516" s="79" t="n">
        <v>515</v>
      </c>
      <c r="B516" s="79" t="s">
        <v>5</v>
      </c>
      <c r="C516" s="79" t="s">
        <v>2286</v>
      </c>
      <c r="D516" s="79" t="s">
        <v>2287</v>
      </c>
      <c r="E516" s="80" t="s">
        <v>2288</v>
      </c>
      <c r="F516" s="79" t="s">
        <v>2289</v>
      </c>
      <c r="G516" s="79" t="s">
        <v>76</v>
      </c>
      <c r="H516" s="79"/>
    </row>
    <row r="517" customFormat="false" ht="15" hidden="false" customHeight="false" outlineLevel="0" collapsed="false">
      <c r="A517" s="79" t="n">
        <v>516</v>
      </c>
      <c r="B517" s="79" t="s">
        <v>5</v>
      </c>
      <c r="C517" s="79" t="s">
        <v>2290</v>
      </c>
      <c r="D517" s="79" t="s">
        <v>2291</v>
      </c>
      <c r="E517" s="80" t="s">
        <v>2292</v>
      </c>
      <c r="F517" s="79" t="s">
        <v>2293</v>
      </c>
      <c r="G517" s="79" t="s">
        <v>76</v>
      </c>
      <c r="H517" s="79"/>
    </row>
    <row r="518" customFormat="false" ht="15" hidden="false" customHeight="false" outlineLevel="0" collapsed="false">
      <c r="A518" s="79" t="n">
        <v>517</v>
      </c>
      <c r="B518" s="79" t="s">
        <v>5</v>
      </c>
      <c r="C518" s="79" t="s">
        <v>2294</v>
      </c>
      <c r="D518" s="79" t="s">
        <v>2295</v>
      </c>
      <c r="E518" s="80" t="s">
        <v>2296</v>
      </c>
      <c r="F518" s="79" t="s">
        <v>2297</v>
      </c>
      <c r="G518" s="79" t="s">
        <v>76</v>
      </c>
      <c r="H518" s="79" t="s">
        <v>845</v>
      </c>
    </row>
    <row r="519" customFormat="false" ht="15" hidden="false" customHeight="false" outlineLevel="0" collapsed="false">
      <c r="A519" s="79" t="n">
        <v>518</v>
      </c>
      <c r="B519" s="79" t="s">
        <v>5</v>
      </c>
      <c r="C519" s="79" t="s">
        <v>2298</v>
      </c>
      <c r="D519" s="79" t="s">
        <v>2299</v>
      </c>
      <c r="E519" s="80" t="s">
        <v>2300</v>
      </c>
      <c r="F519" s="79" t="s">
        <v>2301</v>
      </c>
      <c r="G519" s="79" t="s">
        <v>78</v>
      </c>
      <c r="H519" s="79"/>
    </row>
    <row r="520" customFormat="false" ht="15" hidden="false" customHeight="false" outlineLevel="0" collapsed="false">
      <c r="A520" s="79" t="n">
        <v>519</v>
      </c>
      <c r="B520" s="79" t="s">
        <v>5</v>
      </c>
      <c r="C520" s="79" t="s">
        <v>2302</v>
      </c>
      <c r="D520" s="79" t="s">
        <v>2303</v>
      </c>
      <c r="E520" s="80" t="s">
        <v>2304</v>
      </c>
      <c r="F520" s="79" t="s">
        <v>2305</v>
      </c>
      <c r="G520" s="79" t="s">
        <v>78</v>
      </c>
      <c r="H520" s="79"/>
    </row>
    <row r="521" customFormat="false" ht="15" hidden="false" customHeight="false" outlineLevel="0" collapsed="false">
      <c r="A521" s="79" t="n">
        <v>520</v>
      </c>
      <c r="B521" s="79" t="s">
        <v>5</v>
      </c>
      <c r="C521" s="79" t="s">
        <v>2306</v>
      </c>
      <c r="D521" s="79" t="s">
        <v>2307</v>
      </c>
      <c r="E521" s="80" t="s">
        <v>2308</v>
      </c>
      <c r="F521" s="79" t="s">
        <v>2309</v>
      </c>
      <c r="G521" s="79" t="s">
        <v>78</v>
      </c>
      <c r="H521" s="79"/>
    </row>
    <row r="522" customFormat="false" ht="15" hidden="false" customHeight="false" outlineLevel="0" collapsed="false">
      <c r="A522" s="79" t="n">
        <v>521</v>
      </c>
      <c r="B522" s="79" t="s">
        <v>5</v>
      </c>
      <c r="C522" s="79" t="s">
        <v>2310</v>
      </c>
      <c r="D522" s="79" t="s">
        <v>2311</v>
      </c>
      <c r="E522" s="80" t="s">
        <v>2312</v>
      </c>
      <c r="F522" s="79" t="s">
        <v>2313</v>
      </c>
      <c r="G522" s="79" t="s">
        <v>78</v>
      </c>
      <c r="H522" s="79"/>
    </row>
    <row r="523" customFormat="false" ht="15" hidden="false" customHeight="false" outlineLevel="0" collapsed="false">
      <c r="A523" s="79" t="n">
        <v>522</v>
      </c>
      <c r="B523" s="79" t="s">
        <v>5</v>
      </c>
      <c r="C523" s="79" t="s">
        <v>2314</v>
      </c>
      <c r="D523" s="79" t="s">
        <v>2315</v>
      </c>
      <c r="E523" s="80" t="s">
        <v>2316</v>
      </c>
      <c r="F523" s="79" t="s">
        <v>2317</v>
      </c>
      <c r="G523" s="79" t="s">
        <v>78</v>
      </c>
      <c r="H523" s="79"/>
    </row>
    <row r="524" customFormat="false" ht="15" hidden="false" customHeight="false" outlineLevel="0" collapsed="false">
      <c r="A524" s="79" t="n">
        <v>523</v>
      </c>
      <c r="B524" s="79" t="s">
        <v>5</v>
      </c>
      <c r="C524" s="79" t="s">
        <v>2318</v>
      </c>
      <c r="D524" s="79" t="s">
        <v>2319</v>
      </c>
      <c r="E524" s="80" t="s">
        <v>2320</v>
      </c>
      <c r="F524" s="79" t="s">
        <v>327</v>
      </c>
      <c r="G524" s="79" t="s">
        <v>78</v>
      </c>
      <c r="H524" s="79"/>
    </row>
    <row r="525" customFormat="false" ht="15" hidden="false" customHeight="false" outlineLevel="0" collapsed="false">
      <c r="A525" s="79" t="n">
        <v>524</v>
      </c>
      <c r="B525" s="79" t="s">
        <v>5</v>
      </c>
      <c r="C525" s="79" t="s">
        <v>2321</v>
      </c>
      <c r="D525" s="79" t="s">
        <v>2322</v>
      </c>
      <c r="E525" s="80" t="s">
        <v>2323</v>
      </c>
      <c r="F525" s="79" t="s">
        <v>2324</v>
      </c>
      <c r="G525" s="79" t="s">
        <v>78</v>
      </c>
      <c r="H525" s="79"/>
    </row>
    <row r="526" customFormat="false" ht="15" hidden="false" customHeight="false" outlineLevel="0" collapsed="false">
      <c r="A526" s="79" t="n">
        <v>525</v>
      </c>
      <c r="B526" s="79" t="s">
        <v>5</v>
      </c>
      <c r="C526" s="79" t="s">
        <v>2325</v>
      </c>
      <c r="D526" s="79" t="s">
        <v>2326</v>
      </c>
      <c r="E526" s="80" t="s">
        <v>2327</v>
      </c>
      <c r="F526" s="79" t="s">
        <v>2328</v>
      </c>
      <c r="G526" s="79" t="s">
        <v>78</v>
      </c>
      <c r="H526" s="79"/>
    </row>
    <row r="527" customFormat="false" ht="15" hidden="false" customHeight="false" outlineLevel="0" collapsed="false">
      <c r="A527" s="79" t="n">
        <v>526</v>
      </c>
      <c r="B527" s="79" t="s">
        <v>5</v>
      </c>
      <c r="C527" s="79" t="s">
        <v>2329</v>
      </c>
      <c r="D527" s="79" t="s">
        <v>2330</v>
      </c>
      <c r="E527" s="80" t="s">
        <v>2331</v>
      </c>
      <c r="F527" s="79" t="s">
        <v>2332</v>
      </c>
      <c r="G527" s="79" t="s">
        <v>78</v>
      </c>
      <c r="H527" s="79"/>
    </row>
    <row r="528" customFormat="false" ht="15" hidden="false" customHeight="false" outlineLevel="0" collapsed="false">
      <c r="A528" s="79" t="n">
        <v>527</v>
      </c>
      <c r="B528" s="79" t="s">
        <v>5</v>
      </c>
      <c r="C528" s="79" t="s">
        <v>2333</v>
      </c>
      <c r="D528" s="79" t="s">
        <v>2334</v>
      </c>
      <c r="E528" s="80" t="s">
        <v>2335</v>
      </c>
      <c r="F528" s="79" t="s">
        <v>2336</v>
      </c>
      <c r="G528" s="79" t="s">
        <v>78</v>
      </c>
      <c r="H528" s="79"/>
    </row>
    <row r="529" customFormat="false" ht="15" hidden="false" customHeight="false" outlineLevel="0" collapsed="false">
      <c r="A529" s="79" t="n">
        <v>528</v>
      </c>
      <c r="B529" s="79" t="s">
        <v>5</v>
      </c>
      <c r="C529" s="79" t="s">
        <v>2337</v>
      </c>
      <c r="D529" s="79" t="s">
        <v>2338</v>
      </c>
      <c r="E529" s="80" t="s">
        <v>2339</v>
      </c>
      <c r="F529" s="79" t="s">
        <v>2340</v>
      </c>
      <c r="G529" s="79" t="s">
        <v>78</v>
      </c>
      <c r="H529" s="79"/>
    </row>
    <row r="530" customFormat="false" ht="15" hidden="false" customHeight="false" outlineLevel="0" collapsed="false">
      <c r="A530" s="79" t="n">
        <v>529</v>
      </c>
      <c r="B530" s="79" t="s">
        <v>5</v>
      </c>
      <c r="C530" s="79" t="s">
        <v>2341</v>
      </c>
      <c r="D530" s="79" t="s">
        <v>2342</v>
      </c>
      <c r="E530" s="80" t="s">
        <v>2343</v>
      </c>
      <c r="F530" s="79" t="s">
        <v>2344</v>
      </c>
      <c r="G530" s="79" t="s">
        <v>78</v>
      </c>
      <c r="H530" s="79"/>
    </row>
    <row r="531" customFormat="false" ht="15" hidden="false" customHeight="false" outlineLevel="0" collapsed="false">
      <c r="A531" s="79" t="n">
        <v>530</v>
      </c>
      <c r="B531" s="79" t="s">
        <v>5</v>
      </c>
      <c r="C531" s="79" t="s">
        <v>2345</v>
      </c>
      <c r="D531" s="79" t="s">
        <v>2346</v>
      </c>
      <c r="E531" s="80" t="s">
        <v>2347</v>
      </c>
      <c r="F531" s="79" t="s">
        <v>2348</v>
      </c>
      <c r="G531" s="79" t="s">
        <v>78</v>
      </c>
      <c r="H531" s="79"/>
    </row>
    <row r="532" customFormat="false" ht="15" hidden="false" customHeight="false" outlineLevel="0" collapsed="false">
      <c r="A532" s="79" t="n">
        <v>531</v>
      </c>
      <c r="B532" s="79" t="s">
        <v>5</v>
      </c>
      <c r="C532" s="79" t="s">
        <v>2349</v>
      </c>
      <c r="D532" s="79" t="s">
        <v>2350</v>
      </c>
      <c r="E532" s="80" t="s">
        <v>2351</v>
      </c>
      <c r="F532" s="79" t="s">
        <v>2352</v>
      </c>
      <c r="G532" s="79" t="s">
        <v>78</v>
      </c>
      <c r="H532" s="79"/>
    </row>
    <row r="533" customFormat="false" ht="15" hidden="false" customHeight="false" outlineLevel="0" collapsed="false">
      <c r="A533" s="79" t="n">
        <v>532</v>
      </c>
      <c r="B533" s="79" t="s">
        <v>5</v>
      </c>
      <c r="C533" s="79" t="s">
        <v>2353</v>
      </c>
      <c r="D533" s="79" t="s">
        <v>2354</v>
      </c>
      <c r="E533" s="80" t="s">
        <v>2355</v>
      </c>
      <c r="F533" s="79" t="s">
        <v>2356</v>
      </c>
      <c r="G533" s="79" t="s">
        <v>78</v>
      </c>
      <c r="H533" s="79"/>
    </row>
    <row r="534" customFormat="false" ht="15" hidden="false" customHeight="false" outlineLevel="0" collapsed="false">
      <c r="A534" s="79" t="n">
        <v>533</v>
      </c>
      <c r="B534" s="79" t="s">
        <v>5</v>
      </c>
      <c r="C534" s="79" t="s">
        <v>2357</v>
      </c>
      <c r="D534" s="79" t="s">
        <v>2358</v>
      </c>
      <c r="E534" s="80" t="s">
        <v>2359</v>
      </c>
      <c r="F534" s="79" t="s">
        <v>2360</v>
      </c>
      <c r="G534" s="79" t="s">
        <v>78</v>
      </c>
      <c r="H534" s="79"/>
    </row>
    <row r="535" customFormat="false" ht="15" hidden="false" customHeight="false" outlineLevel="0" collapsed="false">
      <c r="A535" s="79" t="n">
        <v>534</v>
      </c>
      <c r="B535" s="79" t="s">
        <v>5</v>
      </c>
      <c r="C535" s="79" t="s">
        <v>2361</v>
      </c>
      <c r="D535" s="79" t="s">
        <v>2362</v>
      </c>
      <c r="E535" s="80" t="s">
        <v>2363</v>
      </c>
      <c r="F535" s="79" t="s">
        <v>2364</v>
      </c>
      <c r="G535" s="79" t="s">
        <v>78</v>
      </c>
      <c r="H535" s="79" t="s">
        <v>2365</v>
      </c>
    </row>
    <row r="536" customFormat="false" ht="15" hidden="false" customHeight="false" outlineLevel="0" collapsed="false">
      <c r="A536" s="79" t="n">
        <v>535</v>
      </c>
      <c r="B536" s="79" t="s">
        <v>5</v>
      </c>
      <c r="C536" s="79" t="s">
        <v>2366</v>
      </c>
      <c r="D536" s="79" t="s">
        <v>2367</v>
      </c>
      <c r="E536" s="80" t="s">
        <v>2368</v>
      </c>
      <c r="F536" s="79" t="s">
        <v>2369</v>
      </c>
      <c r="G536" s="79" t="s">
        <v>78</v>
      </c>
      <c r="H536" s="79" t="s">
        <v>845</v>
      </c>
    </row>
    <row r="537" customFormat="false" ht="15" hidden="false" customHeight="false" outlineLevel="0" collapsed="false">
      <c r="A537" s="79" t="n">
        <v>536</v>
      </c>
      <c r="B537" s="79" t="s">
        <v>5</v>
      </c>
      <c r="C537" s="79" t="s">
        <v>2370</v>
      </c>
      <c r="D537" s="79" t="s">
        <v>2371</v>
      </c>
      <c r="E537" s="80" t="s">
        <v>2372</v>
      </c>
      <c r="F537" s="79" t="s">
        <v>2373</v>
      </c>
      <c r="G537" s="79" t="s">
        <v>78</v>
      </c>
      <c r="H537" s="79"/>
    </row>
    <row r="538" customFormat="false" ht="15" hidden="false" customHeight="false" outlineLevel="0" collapsed="false">
      <c r="A538" s="79" t="n">
        <v>537</v>
      </c>
      <c r="B538" s="79" t="s">
        <v>5</v>
      </c>
      <c r="C538" s="79" t="s">
        <v>2374</v>
      </c>
      <c r="D538" s="79" t="s">
        <v>2375</v>
      </c>
      <c r="E538" s="80" t="s">
        <v>2376</v>
      </c>
      <c r="F538" s="79" t="s">
        <v>2377</v>
      </c>
      <c r="G538" s="79" t="s">
        <v>78</v>
      </c>
      <c r="H538" s="79"/>
    </row>
    <row r="539" customFormat="false" ht="15" hidden="false" customHeight="false" outlineLevel="0" collapsed="false">
      <c r="A539" s="79" t="n">
        <v>538</v>
      </c>
      <c r="B539" s="79" t="s">
        <v>5</v>
      </c>
      <c r="C539" s="79" t="s">
        <v>2378</v>
      </c>
      <c r="D539" s="79" t="s">
        <v>2379</v>
      </c>
      <c r="E539" s="80" t="s">
        <v>2380</v>
      </c>
      <c r="F539" s="79" t="s">
        <v>2381</v>
      </c>
      <c r="G539" s="79" t="s">
        <v>78</v>
      </c>
      <c r="H539" s="79"/>
    </row>
    <row r="540" customFormat="false" ht="15" hidden="false" customHeight="false" outlineLevel="0" collapsed="false">
      <c r="A540" s="79" t="n">
        <v>539</v>
      </c>
      <c r="B540" s="79" t="s">
        <v>5</v>
      </c>
      <c r="C540" s="79" t="s">
        <v>2382</v>
      </c>
      <c r="D540" s="79" t="s">
        <v>2383</v>
      </c>
      <c r="E540" s="80" t="s">
        <v>2384</v>
      </c>
      <c r="F540" s="79" t="s">
        <v>2385</v>
      </c>
      <c r="G540" s="79" t="s">
        <v>78</v>
      </c>
      <c r="H540" s="79"/>
    </row>
    <row r="541" customFormat="false" ht="15" hidden="false" customHeight="false" outlineLevel="0" collapsed="false">
      <c r="A541" s="79" t="n">
        <v>540</v>
      </c>
      <c r="B541" s="79" t="s">
        <v>5</v>
      </c>
      <c r="C541" s="79" t="s">
        <v>2386</v>
      </c>
      <c r="D541" s="79" t="s">
        <v>2387</v>
      </c>
      <c r="E541" s="80" t="s">
        <v>2388</v>
      </c>
      <c r="F541" s="79" t="s">
        <v>2389</v>
      </c>
      <c r="G541" s="79" t="s">
        <v>78</v>
      </c>
      <c r="H541" s="79" t="s">
        <v>845</v>
      </c>
    </row>
    <row r="542" customFormat="false" ht="15" hidden="false" customHeight="false" outlineLevel="0" collapsed="false">
      <c r="A542" s="79" t="n">
        <v>541</v>
      </c>
      <c r="B542" s="79" t="s">
        <v>5</v>
      </c>
      <c r="C542" s="79" t="s">
        <v>2390</v>
      </c>
      <c r="D542" s="79" t="s">
        <v>2391</v>
      </c>
      <c r="E542" s="80" t="s">
        <v>2392</v>
      </c>
      <c r="F542" s="79" t="s">
        <v>2393</v>
      </c>
      <c r="G542" s="79" t="s">
        <v>78</v>
      </c>
      <c r="H542" s="79"/>
    </row>
    <row r="543" customFormat="false" ht="15" hidden="false" customHeight="false" outlineLevel="0" collapsed="false">
      <c r="A543" s="79" t="n">
        <v>542</v>
      </c>
      <c r="B543" s="79" t="s">
        <v>5</v>
      </c>
      <c r="C543" s="79" t="s">
        <v>2394</v>
      </c>
      <c r="D543" s="79" t="s">
        <v>2395</v>
      </c>
      <c r="E543" s="80" t="s">
        <v>2396</v>
      </c>
      <c r="F543" s="79" t="s">
        <v>2397</v>
      </c>
      <c r="G543" s="79" t="s">
        <v>80</v>
      </c>
      <c r="H543" s="79" t="s">
        <v>2398</v>
      </c>
    </row>
    <row r="544" customFormat="false" ht="15" hidden="false" customHeight="false" outlineLevel="0" collapsed="false">
      <c r="A544" s="79" t="n">
        <v>543</v>
      </c>
      <c r="B544" s="79" t="s">
        <v>5</v>
      </c>
      <c r="C544" s="79" t="s">
        <v>2399</v>
      </c>
      <c r="D544" s="79" t="s">
        <v>2400</v>
      </c>
      <c r="E544" s="80" t="s">
        <v>2401</v>
      </c>
      <c r="F544" s="79" t="s">
        <v>2402</v>
      </c>
      <c r="G544" s="79" t="s">
        <v>80</v>
      </c>
      <c r="H544" s="79"/>
    </row>
    <row r="545" customFormat="false" ht="15" hidden="false" customHeight="false" outlineLevel="0" collapsed="false">
      <c r="A545" s="79" t="n">
        <v>544</v>
      </c>
      <c r="B545" s="79" t="s">
        <v>5</v>
      </c>
      <c r="C545" s="79" t="s">
        <v>2403</v>
      </c>
      <c r="D545" s="79" t="s">
        <v>2404</v>
      </c>
      <c r="E545" s="80" t="s">
        <v>2405</v>
      </c>
      <c r="F545" s="79" t="s">
        <v>331</v>
      </c>
      <c r="G545" s="79" t="s">
        <v>80</v>
      </c>
      <c r="H545" s="79"/>
    </row>
    <row r="546" customFormat="false" ht="15" hidden="false" customHeight="false" outlineLevel="0" collapsed="false">
      <c r="A546" s="79" t="n">
        <v>545</v>
      </c>
      <c r="B546" s="79" t="s">
        <v>5</v>
      </c>
      <c r="C546" s="79" t="s">
        <v>2406</v>
      </c>
      <c r="D546" s="79" t="s">
        <v>2407</v>
      </c>
      <c r="E546" s="80" t="s">
        <v>2408</v>
      </c>
      <c r="F546" s="79" t="s">
        <v>2409</v>
      </c>
      <c r="G546" s="79" t="s">
        <v>80</v>
      </c>
      <c r="H546" s="79"/>
    </row>
    <row r="547" customFormat="false" ht="15" hidden="false" customHeight="false" outlineLevel="0" collapsed="false">
      <c r="A547" s="79" t="n">
        <v>546</v>
      </c>
      <c r="B547" s="79" t="s">
        <v>5</v>
      </c>
      <c r="C547" s="79" t="s">
        <v>2410</v>
      </c>
      <c r="D547" s="79" t="s">
        <v>2411</v>
      </c>
      <c r="E547" s="80" t="s">
        <v>2412</v>
      </c>
      <c r="F547" s="79" t="s">
        <v>2413</v>
      </c>
      <c r="G547" s="79" t="s">
        <v>80</v>
      </c>
      <c r="H547" s="79"/>
    </row>
    <row r="548" customFormat="false" ht="15" hidden="false" customHeight="false" outlineLevel="0" collapsed="false">
      <c r="A548" s="79" t="n">
        <v>547</v>
      </c>
      <c r="B548" s="79" t="s">
        <v>5</v>
      </c>
      <c r="C548" s="79" t="s">
        <v>2414</v>
      </c>
      <c r="D548" s="79" t="s">
        <v>2415</v>
      </c>
      <c r="E548" s="80" t="s">
        <v>2416</v>
      </c>
      <c r="F548" s="79" t="s">
        <v>2417</v>
      </c>
      <c r="G548" s="79" t="s">
        <v>80</v>
      </c>
      <c r="H548" s="79"/>
    </row>
    <row r="549" customFormat="false" ht="15" hidden="false" customHeight="false" outlineLevel="0" collapsed="false">
      <c r="A549" s="79" t="n">
        <v>548</v>
      </c>
      <c r="B549" s="79" t="s">
        <v>5</v>
      </c>
      <c r="C549" s="79" t="s">
        <v>2418</v>
      </c>
      <c r="D549" s="79" t="s">
        <v>2419</v>
      </c>
      <c r="E549" s="80" t="s">
        <v>2420</v>
      </c>
      <c r="F549" s="79" t="s">
        <v>335</v>
      </c>
      <c r="G549" s="79" t="s">
        <v>80</v>
      </c>
      <c r="H549" s="79" t="s">
        <v>2421</v>
      </c>
    </row>
    <row r="550" customFormat="false" ht="15" hidden="false" customHeight="false" outlineLevel="0" collapsed="false">
      <c r="A550" s="79" t="n">
        <v>549</v>
      </c>
      <c r="B550" s="79" t="s">
        <v>5</v>
      </c>
      <c r="C550" s="79" t="s">
        <v>2422</v>
      </c>
      <c r="D550" s="79" t="s">
        <v>2423</v>
      </c>
      <c r="E550" s="80" t="s">
        <v>2424</v>
      </c>
      <c r="F550" s="79" t="s">
        <v>2425</v>
      </c>
      <c r="G550" s="79" t="s">
        <v>80</v>
      </c>
      <c r="H550" s="79"/>
    </row>
    <row r="551" customFormat="false" ht="15" hidden="false" customHeight="false" outlineLevel="0" collapsed="false">
      <c r="A551" s="79" t="n">
        <v>550</v>
      </c>
      <c r="B551" s="79" t="s">
        <v>5</v>
      </c>
      <c r="C551" s="79" t="s">
        <v>2426</v>
      </c>
      <c r="D551" s="79" t="s">
        <v>2427</v>
      </c>
      <c r="E551" s="80" t="s">
        <v>2428</v>
      </c>
      <c r="F551" s="79" t="s">
        <v>2429</v>
      </c>
      <c r="G551" s="79" t="s">
        <v>80</v>
      </c>
      <c r="H551" s="79"/>
    </row>
    <row r="552" customFormat="false" ht="15" hidden="false" customHeight="false" outlineLevel="0" collapsed="false">
      <c r="A552" s="79" t="n">
        <v>551</v>
      </c>
      <c r="B552" s="79" t="s">
        <v>5</v>
      </c>
      <c r="C552" s="79" t="s">
        <v>2430</v>
      </c>
      <c r="D552" s="79" t="s">
        <v>2431</v>
      </c>
      <c r="E552" s="80" t="s">
        <v>2432</v>
      </c>
      <c r="F552" s="79" t="s">
        <v>2433</v>
      </c>
      <c r="G552" s="79" t="s">
        <v>80</v>
      </c>
      <c r="H552" s="79"/>
    </row>
    <row r="553" customFormat="false" ht="15" hidden="false" customHeight="false" outlineLevel="0" collapsed="false">
      <c r="A553" s="79" t="n">
        <v>552</v>
      </c>
      <c r="B553" s="79" t="s">
        <v>5</v>
      </c>
      <c r="C553" s="79" t="s">
        <v>2434</v>
      </c>
      <c r="D553" s="79" t="s">
        <v>2435</v>
      </c>
      <c r="E553" s="80" t="s">
        <v>2436</v>
      </c>
      <c r="F553" s="79" t="s">
        <v>2437</v>
      </c>
      <c r="G553" s="79" t="s">
        <v>80</v>
      </c>
      <c r="H553" s="79"/>
    </row>
    <row r="554" customFormat="false" ht="15" hidden="false" customHeight="false" outlineLevel="0" collapsed="false">
      <c r="A554" s="79" t="n">
        <v>553</v>
      </c>
      <c r="B554" s="79" t="s">
        <v>5</v>
      </c>
      <c r="C554" s="79" t="s">
        <v>2438</v>
      </c>
      <c r="D554" s="79" t="s">
        <v>2439</v>
      </c>
      <c r="E554" s="80" t="s">
        <v>2440</v>
      </c>
      <c r="F554" s="79" t="s">
        <v>2441</v>
      </c>
      <c r="G554" s="79" t="s">
        <v>80</v>
      </c>
      <c r="H554" s="79"/>
    </row>
    <row r="555" customFormat="false" ht="15" hidden="false" customHeight="false" outlineLevel="0" collapsed="false">
      <c r="A555" s="79" t="n">
        <v>554</v>
      </c>
      <c r="B555" s="79" t="s">
        <v>5</v>
      </c>
      <c r="C555" s="79" t="s">
        <v>2442</v>
      </c>
      <c r="D555" s="79" t="s">
        <v>2443</v>
      </c>
      <c r="E555" s="80" t="s">
        <v>2444</v>
      </c>
      <c r="F555" s="79" t="s">
        <v>2445</v>
      </c>
      <c r="G555" s="79" t="s">
        <v>80</v>
      </c>
      <c r="H555" s="79"/>
    </row>
    <row r="556" customFormat="false" ht="15" hidden="false" customHeight="false" outlineLevel="0" collapsed="false">
      <c r="A556" s="79" t="n">
        <v>555</v>
      </c>
      <c r="B556" s="79" t="s">
        <v>5</v>
      </c>
      <c r="C556" s="79" t="s">
        <v>2446</v>
      </c>
      <c r="D556" s="79" t="s">
        <v>2447</v>
      </c>
      <c r="E556" s="80" t="s">
        <v>2448</v>
      </c>
      <c r="F556" s="79" t="s">
        <v>2449</v>
      </c>
      <c r="G556" s="79" t="s">
        <v>80</v>
      </c>
      <c r="H556" s="79" t="s">
        <v>845</v>
      </c>
    </row>
    <row r="557" customFormat="false" ht="15" hidden="false" customHeight="false" outlineLevel="0" collapsed="false">
      <c r="A557" s="79" t="n">
        <v>556</v>
      </c>
      <c r="B557" s="79" t="s">
        <v>5</v>
      </c>
      <c r="C557" s="79" t="s">
        <v>2450</v>
      </c>
      <c r="D557" s="79" t="s">
        <v>2451</v>
      </c>
      <c r="E557" s="80" t="s">
        <v>2452</v>
      </c>
      <c r="F557" s="79" t="s">
        <v>2453</v>
      </c>
      <c r="G557" s="79" t="s">
        <v>82</v>
      </c>
      <c r="H557" s="79"/>
    </row>
    <row r="558" customFormat="false" ht="15" hidden="false" customHeight="false" outlineLevel="0" collapsed="false">
      <c r="A558" s="79" t="n">
        <v>557</v>
      </c>
      <c r="B558" s="79" t="s">
        <v>5</v>
      </c>
      <c r="C558" s="79" t="s">
        <v>2454</v>
      </c>
      <c r="D558" s="79" t="s">
        <v>2455</v>
      </c>
      <c r="E558" s="80" t="s">
        <v>2456</v>
      </c>
      <c r="F558" s="79" t="s">
        <v>2457</v>
      </c>
      <c r="G558" s="79" t="s">
        <v>82</v>
      </c>
      <c r="H558" s="79"/>
    </row>
    <row r="559" customFormat="false" ht="15" hidden="false" customHeight="false" outlineLevel="0" collapsed="false">
      <c r="A559" s="79" t="n">
        <v>558</v>
      </c>
      <c r="B559" s="79" t="s">
        <v>5</v>
      </c>
      <c r="C559" s="79" t="s">
        <v>2458</v>
      </c>
      <c r="D559" s="79" t="s">
        <v>2459</v>
      </c>
      <c r="E559" s="80" t="s">
        <v>2460</v>
      </c>
      <c r="F559" s="79" t="s">
        <v>2461</v>
      </c>
      <c r="G559" s="79" t="s">
        <v>82</v>
      </c>
      <c r="H559" s="79"/>
    </row>
    <row r="560" customFormat="false" ht="15" hidden="false" customHeight="false" outlineLevel="0" collapsed="false">
      <c r="A560" s="79" t="n">
        <v>559</v>
      </c>
      <c r="B560" s="79" t="s">
        <v>5</v>
      </c>
      <c r="C560" s="79" t="s">
        <v>2462</v>
      </c>
      <c r="D560" s="79" t="s">
        <v>2463</v>
      </c>
      <c r="E560" s="80" t="s">
        <v>2464</v>
      </c>
      <c r="F560" s="79" t="s">
        <v>2465</v>
      </c>
      <c r="G560" s="79" t="s">
        <v>82</v>
      </c>
      <c r="H560" s="79" t="s">
        <v>845</v>
      </c>
    </row>
    <row r="561" customFormat="false" ht="15" hidden="false" customHeight="false" outlineLevel="0" collapsed="false">
      <c r="A561" s="79" t="n">
        <v>560</v>
      </c>
      <c r="B561" s="79" t="s">
        <v>5</v>
      </c>
      <c r="C561" s="79" t="s">
        <v>2466</v>
      </c>
      <c r="D561" s="79" t="s">
        <v>2467</v>
      </c>
      <c r="E561" s="80" t="s">
        <v>2468</v>
      </c>
      <c r="F561" s="79" t="s">
        <v>2469</v>
      </c>
      <c r="G561" s="79" t="s">
        <v>82</v>
      </c>
      <c r="H561" s="79" t="s">
        <v>845</v>
      </c>
    </row>
    <row r="562" customFormat="false" ht="15" hidden="false" customHeight="false" outlineLevel="0" collapsed="false">
      <c r="A562" s="79" t="n">
        <v>561</v>
      </c>
      <c r="B562" s="79" t="s">
        <v>5</v>
      </c>
      <c r="C562" s="79" t="s">
        <v>2470</v>
      </c>
      <c r="D562" s="79" t="s">
        <v>2471</v>
      </c>
      <c r="E562" s="80" t="s">
        <v>2472</v>
      </c>
      <c r="F562" s="79" t="s">
        <v>2473</v>
      </c>
      <c r="G562" s="79" t="s">
        <v>82</v>
      </c>
      <c r="H562" s="79" t="s">
        <v>845</v>
      </c>
    </row>
    <row r="563" customFormat="false" ht="15" hidden="false" customHeight="false" outlineLevel="0" collapsed="false">
      <c r="A563" s="79" t="n">
        <v>562</v>
      </c>
      <c r="B563" s="79" t="s">
        <v>5</v>
      </c>
      <c r="C563" s="79" t="s">
        <v>2474</v>
      </c>
      <c r="D563" s="79" t="s">
        <v>2475</v>
      </c>
      <c r="E563" s="80" t="s">
        <v>2476</v>
      </c>
      <c r="F563" s="79" t="s">
        <v>2477</v>
      </c>
      <c r="G563" s="79" t="s">
        <v>82</v>
      </c>
      <c r="H563" s="79" t="s">
        <v>845</v>
      </c>
    </row>
    <row r="564" customFormat="false" ht="15" hidden="false" customHeight="false" outlineLevel="0" collapsed="false">
      <c r="A564" s="79" t="n">
        <v>563</v>
      </c>
      <c r="B564" s="79" t="s">
        <v>5</v>
      </c>
      <c r="C564" s="79" t="s">
        <v>2478</v>
      </c>
      <c r="D564" s="79" t="s">
        <v>2479</v>
      </c>
      <c r="E564" s="80" t="s">
        <v>2480</v>
      </c>
      <c r="F564" s="79" t="s">
        <v>2481</v>
      </c>
      <c r="G564" s="79" t="s">
        <v>82</v>
      </c>
      <c r="H564" s="79" t="s">
        <v>845</v>
      </c>
    </row>
    <row r="565" customFormat="false" ht="15" hidden="false" customHeight="false" outlineLevel="0" collapsed="false">
      <c r="A565" s="79" t="n">
        <v>564</v>
      </c>
      <c r="B565" s="79" t="s">
        <v>5</v>
      </c>
      <c r="C565" s="79" t="s">
        <v>2482</v>
      </c>
      <c r="D565" s="79" t="s">
        <v>2483</v>
      </c>
      <c r="E565" s="80" t="s">
        <v>2484</v>
      </c>
      <c r="F565" s="79" t="s">
        <v>2485</v>
      </c>
      <c r="G565" s="79" t="s">
        <v>82</v>
      </c>
      <c r="H565" s="79" t="s">
        <v>845</v>
      </c>
    </row>
    <row r="566" customFormat="false" ht="15" hidden="false" customHeight="false" outlineLevel="0" collapsed="false">
      <c r="A566" s="79" t="n">
        <v>565</v>
      </c>
      <c r="B566" s="79" t="s">
        <v>5</v>
      </c>
      <c r="C566" s="79" t="s">
        <v>2486</v>
      </c>
      <c r="D566" s="79" t="s">
        <v>2487</v>
      </c>
      <c r="E566" s="80" t="s">
        <v>2488</v>
      </c>
      <c r="F566" s="79" t="s">
        <v>2489</v>
      </c>
      <c r="G566" s="79" t="s">
        <v>82</v>
      </c>
      <c r="H566" s="79" t="s">
        <v>845</v>
      </c>
    </row>
    <row r="567" customFormat="false" ht="15" hidden="false" customHeight="false" outlineLevel="0" collapsed="false">
      <c r="A567" s="79" t="n">
        <v>566</v>
      </c>
      <c r="B567" s="79" t="s">
        <v>5</v>
      </c>
      <c r="C567" s="79" t="s">
        <v>2490</v>
      </c>
      <c r="D567" s="79" t="s">
        <v>2491</v>
      </c>
      <c r="E567" s="80" t="s">
        <v>2492</v>
      </c>
      <c r="F567" s="79" t="s">
        <v>2493</v>
      </c>
      <c r="G567" s="79" t="s">
        <v>82</v>
      </c>
      <c r="H567" s="79" t="s">
        <v>845</v>
      </c>
    </row>
    <row r="568" customFormat="false" ht="15" hidden="false" customHeight="false" outlineLevel="0" collapsed="false">
      <c r="A568" s="79" t="n">
        <v>567</v>
      </c>
      <c r="B568" s="79" t="s">
        <v>5</v>
      </c>
      <c r="C568" s="79" t="s">
        <v>2494</v>
      </c>
      <c r="D568" s="79" t="s">
        <v>2495</v>
      </c>
      <c r="E568" s="80" t="s">
        <v>2496</v>
      </c>
      <c r="F568" s="79" t="s">
        <v>2497</v>
      </c>
      <c r="G568" s="79" t="s">
        <v>82</v>
      </c>
      <c r="H568" s="79" t="s">
        <v>845</v>
      </c>
    </row>
    <row r="569" customFormat="false" ht="15" hidden="false" customHeight="false" outlineLevel="0" collapsed="false">
      <c r="A569" s="79" t="n">
        <v>568</v>
      </c>
      <c r="B569" s="79" t="s">
        <v>5</v>
      </c>
      <c r="C569" s="79" t="s">
        <v>2498</v>
      </c>
      <c r="D569" s="79" t="s">
        <v>2499</v>
      </c>
      <c r="E569" s="80" t="s">
        <v>2500</v>
      </c>
      <c r="F569" s="79" t="s">
        <v>327</v>
      </c>
      <c r="G569" s="79" t="s">
        <v>82</v>
      </c>
      <c r="H569" s="79"/>
    </row>
    <row r="570" customFormat="false" ht="15" hidden="false" customHeight="false" outlineLevel="0" collapsed="false">
      <c r="A570" s="79" t="n">
        <v>569</v>
      </c>
      <c r="B570" s="79" t="s">
        <v>5</v>
      </c>
      <c r="C570" s="79" t="s">
        <v>2501</v>
      </c>
      <c r="D570" s="79" t="s">
        <v>2502</v>
      </c>
      <c r="E570" s="80" t="s">
        <v>2503</v>
      </c>
      <c r="F570" s="79" t="s">
        <v>2504</v>
      </c>
      <c r="G570" s="79" t="s">
        <v>84</v>
      </c>
      <c r="H570" s="79"/>
    </row>
    <row r="571" customFormat="false" ht="15" hidden="false" customHeight="false" outlineLevel="0" collapsed="false">
      <c r="A571" s="79" t="n">
        <v>570</v>
      </c>
      <c r="B571" s="79" t="s">
        <v>5</v>
      </c>
      <c r="C571" s="79" t="s">
        <v>2505</v>
      </c>
      <c r="D571" s="79" t="s">
        <v>2506</v>
      </c>
      <c r="E571" s="80" t="s">
        <v>2507</v>
      </c>
      <c r="F571" s="79" t="s">
        <v>390</v>
      </c>
      <c r="G571" s="79" t="s">
        <v>84</v>
      </c>
      <c r="H571" s="79"/>
    </row>
    <row r="572" customFormat="false" ht="15" hidden="false" customHeight="false" outlineLevel="0" collapsed="false">
      <c r="A572" s="79" t="n">
        <v>571</v>
      </c>
      <c r="B572" s="79" t="s">
        <v>5</v>
      </c>
      <c r="C572" s="79" t="s">
        <v>2508</v>
      </c>
      <c r="D572" s="79" t="s">
        <v>2509</v>
      </c>
      <c r="E572" s="80" t="s">
        <v>2510</v>
      </c>
      <c r="F572" s="79" t="s">
        <v>2511</v>
      </c>
      <c r="G572" s="79" t="s">
        <v>84</v>
      </c>
      <c r="H572" s="79"/>
    </row>
    <row r="573" customFormat="false" ht="15" hidden="false" customHeight="false" outlineLevel="0" collapsed="false">
      <c r="A573" s="79" t="n">
        <v>572</v>
      </c>
      <c r="B573" s="79" t="s">
        <v>5</v>
      </c>
      <c r="C573" s="79" t="s">
        <v>2512</v>
      </c>
      <c r="D573" s="79" t="s">
        <v>2513</v>
      </c>
      <c r="E573" s="80" t="s">
        <v>2514</v>
      </c>
      <c r="F573" s="79" t="s">
        <v>1153</v>
      </c>
      <c r="G573" s="79" t="s">
        <v>84</v>
      </c>
      <c r="H573" s="79"/>
    </row>
    <row r="574" customFormat="false" ht="15" hidden="false" customHeight="false" outlineLevel="0" collapsed="false">
      <c r="A574" s="79" t="n">
        <v>573</v>
      </c>
      <c r="B574" s="79" t="s">
        <v>5</v>
      </c>
      <c r="C574" s="79" t="s">
        <v>2515</v>
      </c>
      <c r="D574" s="79" t="s">
        <v>2516</v>
      </c>
      <c r="E574" s="80" t="s">
        <v>2517</v>
      </c>
      <c r="F574" s="79" t="s">
        <v>1753</v>
      </c>
      <c r="G574" s="79" t="s">
        <v>84</v>
      </c>
      <c r="H574" s="79"/>
    </row>
    <row r="575" customFormat="false" ht="15" hidden="false" customHeight="false" outlineLevel="0" collapsed="false">
      <c r="A575" s="79" t="n">
        <v>574</v>
      </c>
      <c r="B575" s="79" t="s">
        <v>5</v>
      </c>
      <c r="C575" s="79" t="s">
        <v>2518</v>
      </c>
      <c r="D575" s="79" t="s">
        <v>2519</v>
      </c>
      <c r="E575" s="80" t="s">
        <v>2520</v>
      </c>
      <c r="F575" s="79" t="s">
        <v>2521</v>
      </c>
      <c r="G575" s="79" t="s">
        <v>84</v>
      </c>
      <c r="H575" s="79"/>
    </row>
    <row r="576" customFormat="false" ht="15" hidden="false" customHeight="false" outlineLevel="0" collapsed="false">
      <c r="A576" s="79" t="n">
        <v>575</v>
      </c>
      <c r="B576" s="79" t="s">
        <v>5</v>
      </c>
      <c r="C576" s="79" t="s">
        <v>2522</v>
      </c>
      <c r="D576" s="79" t="s">
        <v>2523</v>
      </c>
      <c r="E576" s="80" t="s">
        <v>2524</v>
      </c>
      <c r="F576" s="79" t="s">
        <v>2525</v>
      </c>
      <c r="G576" s="79" t="s">
        <v>84</v>
      </c>
      <c r="H576" s="79" t="s">
        <v>845</v>
      </c>
    </row>
    <row r="577" customFormat="false" ht="15" hidden="false" customHeight="false" outlineLevel="0" collapsed="false">
      <c r="A577" s="79" t="n">
        <v>576</v>
      </c>
      <c r="B577" s="79" t="s">
        <v>5</v>
      </c>
      <c r="C577" s="79" t="s">
        <v>2526</v>
      </c>
      <c r="D577" s="79" t="s">
        <v>2527</v>
      </c>
      <c r="E577" s="80" t="s">
        <v>2528</v>
      </c>
      <c r="F577" s="79" t="s">
        <v>2529</v>
      </c>
      <c r="G577" s="79" t="s">
        <v>84</v>
      </c>
      <c r="H577" s="79"/>
    </row>
    <row r="578" customFormat="false" ht="15" hidden="false" customHeight="false" outlineLevel="0" collapsed="false">
      <c r="A578" s="79" t="n">
        <v>577</v>
      </c>
      <c r="B578" s="79" t="s">
        <v>5</v>
      </c>
      <c r="C578" s="79" t="s">
        <v>2530</v>
      </c>
      <c r="D578" s="79" t="s">
        <v>2531</v>
      </c>
      <c r="E578" s="80" t="s">
        <v>2532</v>
      </c>
      <c r="F578" s="79" t="s">
        <v>2533</v>
      </c>
      <c r="G578" s="79" t="s">
        <v>84</v>
      </c>
      <c r="H578" s="79"/>
    </row>
    <row r="579" customFormat="false" ht="15" hidden="false" customHeight="false" outlineLevel="0" collapsed="false">
      <c r="A579" s="79" t="n">
        <v>578</v>
      </c>
      <c r="B579" s="79" t="s">
        <v>5</v>
      </c>
      <c r="C579" s="79" t="s">
        <v>2534</v>
      </c>
      <c r="D579" s="79" t="s">
        <v>2535</v>
      </c>
      <c r="E579" s="80" t="s">
        <v>2536</v>
      </c>
      <c r="F579" s="79" t="s">
        <v>2537</v>
      </c>
      <c r="G579" s="79" t="s">
        <v>84</v>
      </c>
      <c r="H579" s="79"/>
    </row>
    <row r="580" customFormat="false" ht="15" hidden="false" customHeight="false" outlineLevel="0" collapsed="false">
      <c r="A580" s="79" t="n">
        <v>579</v>
      </c>
      <c r="B580" s="79" t="s">
        <v>5</v>
      </c>
      <c r="C580" s="79" t="s">
        <v>2538</v>
      </c>
      <c r="D580" s="79" t="s">
        <v>2539</v>
      </c>
      <c r="E580" s="80" t="s">
        <v>2540</v>
      </c>
      <c r="F580" s="79" t="s">
        <v>2541</v>
      </c>
      <c r="G580" s="79" t="s">
        <v>84</v>
      </c>
      <c r="H580" s="79"/>
    </row>
    <row r="581" customFormat="false" ht="15" hidden="false" customHeight="false" outlineLevel="0" collapsed="false">
      <c r="A581" s="79" t="n">
        <v>580</v>
      </c>
      <c r="B581" s="79" t="s">
        <v>5</v>
      </c>
      <c r="C581" s="79" t="s">
        <v>2542</v>
      </c>
      <c r="D581" s="79" t="s">
        <v>2543</v>
      </c>
      <c r="E581" s="80" t="s">
        <v>2544</v>
      </c>
      <c r="F581" s="79" t="s">
        <v>2545</v>
      </c>
      <c r="G581" s="79" t="s">
        <v>84</v>
      </c>
      <c r="H581" s="79"/>
    </row>
    <row r="582" customFormat="false" ht="15" hidden="false" customHeight="false" outlineLevel="0" collapsed="false">
      <c r="A582" s="79" t="n">
        <v>581</v>
      </c>
      <c r="B582" s="79" t="s">
        <v>5</v>
      </c>
      <c r="C582" s="79" t="s">
        <v>2546</v>
      </c>
      <c r="D582" s="79" t="s">
        <v>2547</v>
      </c>
      <c r="E582" s="80" t="s">
        <v>2548</v>
      </c>
      <c r="F582" s="79" t="s">
        <v>2549</v>
      </c>
      <c r="G582" s="79" t="s">
        <v>84</v>
      </c>
      <c r="H582" s="79"/>
    </row>
    <row r="583" customFormat="false" ht="15" hidden="false" customHeight="false" outlineLevel="0" collapsed="false">
      <c r="A583" s="79" t="n">
        <v>582</v>
      </c>
      <c r="B583" s="79" t="s">
        <v>5</v>
      </c>
      <c r="C583" s="79" t="s">
        <v>2550</v>
      </c>
      <c r="D583" s="79" t="s">
        <v>2551</v>
      </c>
      <c r="E583" s="80" t="s">
        <v>2552</v>
      </c>
      <c r="F583" s="79" t="s">
        <v>2553</v>
      </c>
      <c r="G583" s="79" t="s">
        <v>84</v>
      </c>
      <c r="H583" s="79"/>
    </row>
    <row r="584" customFormat="false" ht="15" hidden="false" customHeight="false" outlineLevel="0" collapsed="false">
      <c r="A584" s="79" t="n">
        <v>583</v>
      </c>
      <c r="B584" s="79" t="s">
        <v>5</v>
      </c>
      <c r="C584" s="79" t="s">
        <v>2554</v>
      </c>
      <c r="D584" s="79" t="s">
        <v>2555</v>
      </c>
      <c r="E584" s="80" t="s">
        <v>2556</v>
      </c>
      <c r="F584" s="79" t="s">
        <v>2557</v>
      </c>
      <c r="G584" s="79" t="s">
        <v>84</v>
      </c>
      <c r="H584" s="79"/>
    </row>
    <row r="585" customFormat="false" ht="15" hidden="false" customHeight="false" outlineLevel="0" collapsed="false">
      <c r="A585" s="79" t="n">
        <v>584</v>
      </c>
      <c r="B585" s="79" t="s">
        <v>5</v>
      </c>
      <c r="C585" s="79" t="s">
        <v>2558</v>
      </c>
      <c r="D585" s="79" t="s">
        <v>2559</v>
      </c>
      <c r="E585" s="80" t="s">
        <v>2560</v>
      </c>
      <c r="F585" s="79" t="s">
        <v>2561</v>
      </c>
      <c r="G585" s="79" t="s">
        <v>86</v>
      </c>
      <c r="H585" s="79" t="s">
        <v>845</v>
      </c>
    </row>
    <row r="586" customFormat="false" ht="15" hidden="false" customHeight="false" outlineLevel="0" collapsed="false">
      <c r="A586" s="79" t="n">
        <v>585</v>
      </c>
      <c r="B586" s="79" t="s">
        <v>5</v>
      </c>
      <c r="C586" s="79" t="s">
        <v>2562</v>
      </c>
      <c r="D586" s="79" t="s">
        <v>2563</v>
      </c>
      <c r="E586" s="80" t="s">
        <v>2564</v>
      </c>
      <c r="F586" s="79" t="s">
        <v>2565</v>
      </c>
      <c r="G586" s="79" t="s">
        <v>86</v>
      </c>
      <c r="H586" s="79" t="s">
        <v>845</v>
      </c>
    </row>
    <row r="587" customFormat="false" ht="15" hidden="false" customHeight="false" outlineLevel="0" collapsed="false">
      <c r="A587" s="79" t="n">
        <v>586</v>
      </c>
      <c r="B587" s="79" t="s">
        <v>5</v>
      </c>
      <c r="C587" s="79" t="s">
        <v>2566</v>
      </c>
      <c r="D587" s="79" t="s">
        <v>2567</v>
      </c>
      <c r="E587" s="80" t="s">
        <v>2568</v>
      </c>
      <c r="F587" s="79" t="s">
        <v>2569</v>
      </c>
      <c r="G587" s="79" t="s">
        <v>86</v>
      </c>
      <c r="H587" s="79"/>
    </row>
    <row r="588" customFormat="false" ht="15" hidden="false" customHeight="false" outlineLevel="0" collapsed="false">
      <c r="A588" s="79" t="n">
        <v>587</v>
      </c>
      <c r="B588" s="79" t="s">
        <v>5</v>
      </c>
      <c r="C588" s="79" t="s">
        <v>2570</v>
      </c>
      <c r="D588" s="79" t="s">
        <v>2571</v>
      </c>
      <c r="E588" s="80" t="s">
        <v>2572</v>
      </c>
      <c r="F588" s="79" t="s">
        <v>2573</v>
      </c>
      <c r="G588" s="79" t="s">
        <v>86</v>
      </c>
      <c r="H588" s="79" t="s">
        <v>845</v>
      </c>
    </row>
    <row r="589" customFormat="false" ht="15" hidden="false" customHeight="false" outlineLevel="0" collapsed="false">
      <c r="A589" s="79" t="n">
        <v>588</v>
      </c>
      <c r="B589" s="79" t="s">
        <v>5</v>
      </c>
      <c r="C589" s="79" t="s">
        <v>2574</v>
      </c>
      <c r="D589" s="79" t="s">
        <v>2575</v>
      </c>
      <c r="E589" s="80" t="s">
        <v>2576</v>
      </c>
      <c r="F589" s="79" t="s">
        <v>2577</v>
      </c>
      <c r="G589" s="79" t="s">
        <v>86</v>
      </c>
      <c r="H589" s="79" t="s">
        <v>845</v>
      </c>
    </row>
    <row r="590" customFormat="false" ht="15" hidden="false" customHeight="false" outlineLevel="0" collapsed="false">
      <c r="A590" s="79" t="n">
        <v>589</v>
      </c>
      <c r="B590" s="79" t="s">
        <v>5</v>
      </c>
      <c r="C590" s="79" t="s">
        <v>2578</v>
      </c>
      <c r="D590" s="79" t="s">
        <v>2579</v>
      </c>
      <c r="E590" s="80" t="s">
        <v>2580</v>
      </c>
      <c r="F590" s="79" t="s">
        <v>2581</v>
      </c>
      <c r="G590" s="79" t="s">
        <v>86</v>
      </c>
      <c r="H590" s="79" t="s">
        <v>845</v>
      </c>
    </row>
    <row r="591" customFormat="false" ht="15" hidden="false" customHeight="false" outlineLevel="0" collapsed="false">
      <c r="A591" s="79" t="n">
        <v>590</v>
      </c>
      <c r="B591" s="79" t="s">
        <v>5</v>
      </c>
      <c r="C591" s="79" t="s">
        <v>2582</v>
      </c>
      <c r="D591" s="79" t="s">
        <v>2583</v>
      </c>
      <c r="E591" s="80" t="s">
        <v>2584</v>
      </c>
      <c r="F591" s="79" t="s">
        <v>2585</v>
      </c>
      <c r="G591" s="79" t="s">
        <v>86</v>
      </c>
      <c r="H591" s="79" t="s">
        <v>845</v>
      </c>
    </row>
    <row r="592" customFormat="false" ht="15" hidden="false" customHeight="false" outlineLevel="0" collapsed="false">
      <c r="A592" s="79" t="n">
        <v>591</v>
      </c>
      <c r="B592" s="79" t="s">
        <v>5</v>
      </c>
      <c r="C592" s="79" t="s">
        <v>2586</v>
      </c>
      <c r="D592" s="79" t="s">
        <v>2587</v>
      </c>
      <c r="E592" s="80" t="s">
        <v>2588</v>
      </c>
      <c r="F592" s="79" t="s">
        <v>2589</v>
      </c>
      <c r="G592" s="79" t="s">
        <v>86</v>
      </c>
      <c r="H592" s="79" t="s">
        <v>845</v>
      </c>
    </row>
    <row r="593" customFormat="false" ht="15" hidden="false" customHeight="false" outlineLevel="0" collapsed="false">
      <c r="A593" s="79" t="n">
        <v>592</v>
      </c>
      <c r="B593" s="79" t="s">
        <v>5</v>
      </c>
      <c r="C593" s="79" t="s">
        <v>2590</v>
      </c>
      <c r="D593" s="79" t="s">
        <v>2591</v>
      </c>
      <c r="E593" s="80" t="s">
        <v>2592</v>
      </c>
      <c r="F593" s="79" t="s">
        <v>2593</v>
      </c>
      <c r="G593" s="79" t="s">
        <v>86</v>
      </c>
      <c r="H593" s="79" t="s">
        <v>845</v>
      </c>
    </row>
    <row r="594" customFormat="false" ht="15" hidden="false" customHeight="false" outlineLevel="0" collapsed="false">
      <c r="A594" s="79" t="n">
        <v>593</v>
      </c>
      <c r="B594" s="79" t="s">
        <v>5</v>
      </c>
      <c r="C594" s="79" t="s">
        <v>2594</v>
      </c>
      <c r="D594" s="79" t="s">
        <v>2595</v>
      </c>
      <c r="E594" s="80" t="s">
        <v>2596</v>
      </c>
      <c r="F594" s="79" t="s">
        <v>2597</v>
      </c>
      <c r="G594" s="79" t="s">
        <v>86</v>
      </c>
      <c r="H594" s="79" t="s">
        <v>845</v>
      </c>
    </row>
    <row r="595" customFormat="false" ht="15" hidden="false" customHeight="false" outlineLevel="0" collapsed="false">
      <c r="A595" s="79" t="n">
        <v>594</v>
      </c>
      <c r="B595" s="79" t="s">
        <v>5</v>
      </c>
      <c r="C595" s="79" t="s">
        <v>2598</v>
      </c>
      <c r="D595" s="79" t="s">
        <v>2599</v>
      </c>
      <c r="E595" s="80" t="s">
        <v>2600</v>
      </c>
      <c r="F595" s="79" t="s">
        <v>2601</v>
      </c>
      <c r="G595" s="79" t="s">
        <v>86</v>
      </c>
      <c r="H595" s="79" t="s">
        <v>845</v>
      </c>
    </row>
    <row r="596" customFormat="false" ht="15" hidden="false" customHeight="false" outlineLevel="0" collapsed="false">
      <c r="A596" s="79" t="n">
        <v>595</v>
      </c>
      <c r="B596" s="79" t="s">
        <v>5</v>
      </c>
      <c r="C596" s="79" t="s">
        <v>2602</v>
      </c>
      <c r="D596" s="79" t="s">
        <v>2603</v>
      </c>
      <c r="E596" s="80" t="s">
        <v>2604</v>
      </c>
      <c r="F596" s="79" t="s">
        <v>2605</v>
      </c>
      <c r="G596" s="79" t="s">
        <v>86</v>
      </c>
      <c r="H596" s="79" t="s">
        <v>845</v>
      </c>
    </row>
    <row r="597" customFormat="false" ht="15" hidden="false" customHeight="false" outlineLevel="0" collapsed="false">
      <c r="A597" s="79" t="n">
        <v>596</v>
      </c>
      <c r="B597" s="79" t="s">
        <v>5</v>
      </c>
      <c r="C597" s="79" t="s">
        <v>2606</v>
      </c>
      <c r="D597" s="79" t="s">
        <v>2607</v>
      </c>
      <c r="E597" s="80" t="s">
        <v>2608</v>
      </c>
      <c r="F597" s="79" t="s">
        <v>2609</v>
      </c>
      <c r="G597" s="79" t="s">
        <v>86</v>
      </c>
      <c r="H597" s="79" t="s">
        <v>845</v>
      </c>
    </row>
    <row r="598" customFormat="false" ht="15" hidden="false" customHeight="false" outlineLevel="0" collapsed="false">
      <c r="A598" s="79" t="n">
        <v>597</v>
      </c>
      <c r="B598" s="79" t="s">
        <v>5</v>
      </c>
      <c r="C598" s="79" t="s">
        <v>2610</v>
      </c>
      <c r="D598" s="79" t="s">
        <v>2611</v>
      </c>
      <c r="E598" s="80" t="s">
        <v>2612</v>
      </c>
      <c r="F598" s="79" t="s">
        <v>2613</v>
      </c>
      <c r="G598" s="79" t="s">
        <v>86</v>
      </c>
      <c r="H598" s="79" t="s">
        <v>845</v>
      </c>
    </row>
    <row r="599" customFormat="false" ht="15" hidden="false" customHeight="false" outlineLevel="0" collapsed="false">
      <c r="A599" s="79" t="n">
        <v>598</v>
      </c>
      <c r="B599" s="79" t="s">
        <v>5</v>
      </c>
      <c r="C599" s="79" t="s">
        <v>2614</v>
      </c>
      <c r="D599" s="79" t="s">
        <v>2615</v>
      </c>
      <c r="E599" s="80" t="s">
        <v>2616</v>
      </c>
      <c r="F599" s="79" t="s">
        <v>2617</v>
      </c>
      <c r="G599" s="79" t="s">
        <v>86</v>
      </c>
      <c r="H599" s="79" t="s">
        <v>845</v>
      </c>
    </row>
    <row r="600" customFormat="false" ht="15" hidden="false" customHeight="false" outlineLevel="0" collapsed="false">
      <c r="A600" s="79" t="n">
        <v>599</v>
      </c>
      <c r="B600" s="79" t="s">
        <v>5</v>
      </c>
      <c r="C600" s="79" t="s">
        <v>2618</v>
      </c>
      <c r="D600" s="79" t="s">
        <v>2619</v>
      </c>
      <c r="E600" s="80" t="s">
        <v>2620</v>
      </c>
      <c r="F600" s="79" t="s">
        <v>2621</v>
      </c>
      <c r="G600" s="79" t="s">
        <v>86</v>
      </c>
      <c r="H600" s="79"/>
    </row>
    <row r="601" customFormat="false" ht="15" hidden="false" customHeight="false" outlineLevel="0" collapsed="false">
      <c r="A601" s="79" t="n">
        <v>600</v>
      </c>
      <c r="B601" s="79" t="s">
        <v>5</v>
      </c>
      <c r="C601" s="79" t="s">
        <v>2622</v>
      </c>
      <c r="D601" s="79" t="s">
        <v>2623</v>
      </c>
      <c r="E601" s="80" t="s">
        <v>2624</v>
      </c>
      <c r="F601" s="79" t="s">
        <v>2625</v>
      </c>
      <c r="G601" s="79" t="s">
        <v>86</v>
      </c>
      <c r="H601" s="79" t="s">
        <v>845</v>
      </c>
    </row>
    <row r="602" customFormat="false" ht="15" hidden="false" customHeight="false" outlineLevel="0" collapsed="false">
      <c r="A602" s="79" t="n">
        <v>601</v>
      </c>
      <c r="B602" s="79" t="s">
        <v>5</v>
      </c>
      <c r="C602" s="79" t="s">
        <v>2626</v>
      </c>
      <c r="D602" s="79" t="s">
        <v>2627</v>
      </c>
      <c r="E602" s="80" t="s">
        <v>2628</v>
      </c>
      <c r="F602" s="79" t="s">
        <v>2629</v>
      </c>
      <c r="G602" s="79" t="s">
        <v>86</v>
      </c>
      <c r="H602" s="79" t="s">
        <v>845</v>
      </c>
    </row>
    <row r="603" customFormat="false" ht="15" hidden="false" customHeight="false" outlineLevel="0" collapsed="false">
      <c r="A603" s="79" t="n">
        <v>602</v>
      </c>
      <c r="B603" s="79" t="s">
        <v>5</v>
      </c>
      <c r="C603" s="79" t="s">
        <v>2630</v>
      </c>
      <c r="D603" s="79" t="s">
        <v>2631</v>
      </c>
      <c r="E603" s="80" t="s">
        <v>2632</v>
      </c>
      <c r="F603" s="79" t="s">
        <v>2633</v>
      </c>
      <c r="G603" s="79" t="s">
        <v>86</v>
      </c>
      <c r="H603" s="79" t="s">
        <v>845</v>
      </c>
    </row>
    <row r="604" customFormat="false" ht="15" hidden="false" customHeight="false" outlineLevel="0" collapsed="false">
      <c r="A604" s="79" t="n">
        <v>603</v>
      </c>
      <c r="B604" s="79" t="s">
        <v>5</v>
      </c>
      <c r="C604" s="79" t="s">
        <v>2634</v>
      </c>
      <c r="D604" s="79" t="s">
        <v>2635</v>
      </c>
      <c r="E604" s="80" t="s">
        <v>2636</v>
      </c>
      <c r="F604" s="79" t="s">
        <v>2637</v>
      </c>
      <c r="G604" s="79" t="s">
        <v>86</v>
      </c>
      <c r="H604" s="79" t="s">
        <v>845</v>
      </c>
    </row>
    <row r="605" customFormat="false" ht="15" hidden="false" customHeight="false" outlineLevel="0" collapsed="false">
      <c r="A605" s="79" t="n">
        <v>604</v>
      </c>
      <c r="B605" s="79" t="s">
        <v>5</v>
      </c>
      <c r="C605" s="79" t="s">
        <v>2638</v>
      </c>
      <c r="D605" s="79" t="s">
        <v>2639</v>
      </c>
      <c r="E605" s="80" t="s">
        <v>2640</v>
      </c>
      <c r="F605" s="79" t="s">
        <v>2641</v>
      </c>
      <c r="G605" s="79" t="s">
        <v>86</v>
      </c>
      <c r="H605" s="79" t="s">
        <v>845</v>
      </c>
    </row>
    <row r="606" customFormat="false" ht="15" hidden="false" customHeight="false" outlineLevel="0" collapsed="false">
      <c r="A606" s="79" t="n">
        <v>605</v>
      </c>
      <c r="B606" s="79" t="s">
        <v>5</v>
      </c>
      <c r="C606" s="79" t="s">
        <v>2642</v>
      </c>
      <c r="D606" s="79" t="s">
        <v>2643</v>
      </c>
      <c r="E606" s="80" t="s">
        <v>2644</v>
      </c>
      <c r="F606" s="79" t="s">
        <v>2645</v>
      </c>
      <c r="G606" s="79" t="s">
        <v>86</v>
      </c>
      <c r="H606" s="79" t="s">
        <v>845</v>
      </c>
    </row>
    <row r="607" customFormat="false" ht="15" hidden="false" customHeight="false" outlineLevel="0" collapsed="false">
      <c r="A607" s="79" t="n">
        <v>606</v>
      </c>
      <c r="B607" s="79" t="s">
        <v>5</v>
      </c>
      <c r="C607" s="79" t="s">
        <v>2646</v>
      </c>
      <c r="D607" s="79" t="s">
        <v>2647</v>
      </c>
      <c r="E607" s="80" t="s">
        <v>2648</v>
      </c>
      <c r="F607" s="79" t="s">
        <v>2649</v>
      </c>
      <c r="G607" s="79" t="s">
        <v>86</v>
      </c>
      <c r="H607" s="79" t="s">
        <v>845</v>
      </c>
    </row>
    <row r="608" customFormat="false" ht="15" hidden="false" customHeight="false" outlineLevel="0" collapsed="false">
      <c r="A608" s="79" t="n">
        <v>607</v>
      </c>
      <c r="B608" s="79" t="s">
        <v>5</v>
      </c>
      <c r="C608" s="79" t="s">
        <v>2650</v>
      </c>
      <c r="D608" s="79" t="s">
        <v>2651</v>
      </c>
      <c r="E608" s="80" t="s">
        <v>2652</v>
      </c>
      <c r="F608" s="79" t="s">
        <v>2653</v>
      </c>
      <c r="G608" s="79" t="s">
        <v>86</v>
      </c>
      <c r="H608" s="79" t="s">
        <v>845</v>
      </c>
    </row>
    <row r="609" customFormat="false" ht="15" hidden="false" customHeight="false" outlineLevel="0" collapsed="false">
      <c r="A609" s="79" t="n">
        <v>608</v>
      </c>
      <c r="B609" s="79" t="s">
        <v>5</v>
      </c>
      <c r="C609" s="79" t="s">
        <v>2654</v>
      </c>
      <c r="D609" s="79" t="s">
        <v>2655</v>
      </c>
      <c r="E609" s="80" t="s">
        <v>2656</v>
      </c>
      <c r="F609" s="79" t="s">
        <v>2657</v>
      </c>
      <c r="G609" s="79" t="s">
        <v>86</v>
      </c>
      <c r="H609" s="79" t="s">
        <v>845</v>
      </c>
    </row>
    <row r="610" customFormat="false" ht="15" hidden="false" customHeight="false" outlineLevel="0" collapsed="false">
      <c r="A610" s="79" t="n">
        <v>609</v>
      </c>
      <c r="B610" s="79" t="s">
        <v>5</v>
      </c>
      <c r="C610" s="79" t="s">
        <v>2658</v>
      </c>
      <c r="D610" s="79" t="s">
        <v>2659</v>
      </c>
      <c r="E610" s="80" t="s">
        <v>2660</v>
      </c>
      <c r="F610" s="79" t="s">
        <v>2661</v>
      </c>
      <c r="G610" s="79" t="s">
        <v>86</v>
      </c>
      <c r="H610" s="79" t="s">
        <v>845</v>
      </c>
    </row>
    <row r="611" customFormat="false" ht="15" hidden="false" customHeight="false" outlineLevel="0" collapsed="false">
      <c r="A611" s="79" t="n">
        <v>610</v>
      </c>
      <c r="B611" s="79" t="s">
        <v>5</v>
      </c>
      <c r="C611" s="79" t="s">
        <v>2662</v>
      </c>
      <c r="D611" s="79" t="s">
        <v>2663</v>
      </c>
      <c r="E611" s="80" t="s">
        <v>2664</v>
      </c>
      <c r="F611" s="79" t="s">
        <v>2665</v>
      </c>
      <c r="G611" s="79" t="s">
        <v>86</v>
      </c>
      <c r="H611" s="79" t="s">
        <v>845</v>
      </c>
    </row>
    <row r="612" customFormat="false" ht="15" hidden="false" customHeight="false" outlineLevel="0" collapsed="false">
      <c r="A612" s="79" t="n">
        <v>611</v>
      </c>
      <c r="B612" s="79" t="s">
        <v>5</v>
      </c>
      <c r="C612" s="79" t="s">
        <v>2666</v>
      </c>
      <c r="D612" s="79" t="s">
        <v>2667</v>
      </c>
      <c r="E612" s="80" t="s">
        <v>2668</v>
      </c>
      <c r="F612" s="79" t="s">
        <v>2669</v>
      </c>
      <c r="G612" s="79" t="s">
        <v>86</v>
      </c>
      <c r="H612" s="79" t="s">
        <v>845</v>
      </c>
    </row>
    <row r="613" customFormat="false" ht="15" hidden="false" customHeight="false" outlineLevel="0" collapsed="false">
      <c r="A613" s="79" t="n">
        <v>612</v>
      </c>
      <c r="B613" s="79" t="s">
        <v>5</v>
      </c>
      <c r="C613" s="79" t="s">
        <v>2670</v>
      </c>
      <c r="D613" s="79" t="s">
        <v>2671</v>
      </c>
      <c r="E613" s="80" t="s">
        <v>2672</v>
      </c>
      <c r="F613" s="79" t="s">
        <v>2673</v>
      </c>
      <c r="G613" s="79" t="s">
        <v>86</v>
      </c>
      <c r="H613" s="79" t="s">
        <v>845</v>
      </c>
    </row>
    <row r="614" customFormat="false" ht="15" hidden="false" customHeight="false" outlineLevel="0" collapsed="false">
      <c r="A614" s="79" t="n">
        <v>613</v>
      </c>
      <c r="B614" s="79" t="s">
        <v>5</v>
      </c>
      <c r="C614" s="79" t="s">
        <v>2674</v>
      </c>
      <c r="D614" s="79" t="s">
        <v>2675</v>
      </c>
      <c r="E614" s="80" t="s">
        <v>2676</v>
      </c>
      <c r="F614" s="79" t="s">
        <v>2677</v>
      </c>
      <c r="G614" s="79" t="s">
        <v>86</v>
      </c>
      <c r="H614" s="79" t="s">
        <v>845</v>
      </c>
    </row>
    <row r="615" customFormat="false" ht="15" hidden="false" customHeight="false" outlineLevel="0" collapsed="false">
      <c r="A615" s="79" t="n">
        <v>614</v>
      </c>
      <c r="B615" s="79" t="s">
        <v>5</v>
      </c>
      <c r="C615" s="79" t="s">
        <v>2678</v>
      </c>
      <c r="D615" s="79" t="s">
        <v>2679</v>
      </c>
      <c r="E615" s="80" t="s">
        <v>2680</v>
      </c>
      <c r="F615" s="79" t="s">
        <v>2681</v>
      </c>
      <c r="G615" s="79" t="s">
        <v>86</v>
      </c>
      <c r="H615" s="79" t="s">
        <v>845</v>
      </c>
    </row>
    <row r="616" customFormat="false" ht="15" hidden="false" customHeight="false" outlineLevel="0" collapsed="false">
      <c r="A616" s="79" t="n">
        <v>615</v>
      </c>
      <c r="B616" s="79" t="s">
        <v>5</v>
      </c>
      <c r="C616" s="79" t="s">
        <v>2682</v>
      </c>
      <c r="D616" s="79" t="s">
        <v>2683</v>
      </c>
      <c r="E616" s="80" t="s">
        <v>504</v>
      </c>
      <c r="F616" s="79" t="s">
        <v>505</v>
      </c>
      <c r="G616" s="79" t="s">
        <v>86</v>
      </c>
      <c r="H616" s="79" t="s">
        <v>845</v>
      </c>
    </row>
    <row r="617" customFormat="false" ht="15" hidden="false" customHeight="false" outlineLevel="0" collapsed="false">
      <c r="A617" s="79" t="n">
        <v>616</v>
      </c>
      <c r="B617" s="79" t="s">
        <v>5</v>
      </c>
      <c r="C617" s="79" t="s">
        <v>2684</v>
      </c>
      <c r="D617" s="79" t="s">
        <v>2685</v>
      </c>
      <c r="E617" s="80" t="s">
        <v>2686</v>
      </c>
      <c r="F617" s="79" t="s">
        <v>2687</v>
      </c>
      <c r="G617" s="79" t="s">
        <v>88</v>
      </c>
      <c r="H617" s="79" t="s">
        <v>2688</v>
      </c>
    </row>
    <row r="618" customFormat="false" ht="15" hidden="false" customHeight="false" outlineLevel="0" collapsed="false">
      <c r="A618" s="79" t="n">
        <v>617</v>
      </c>
      <c r="B618" s="79" t="s">
        <v>5</v>
      </c>
      <c r="C618" s="79" t="s">
        <v>324</v>
      </c>
      <c r="D618" s="79" t="s">
        <v>2689</v>
      </c>
      <c r="E618" s="80" t="s">
        <v>2690</v>
      </c>
      <c r="F618" s="79" t="s">
        <v>2691</v>
      </c>
      <c r="G618" s="79" t="s">
        <v>88</v>
      </c>
      <c r="H618" s="79"/>
    </row>
    <row r="619" customFormat="false" ht="15" hidden="false" customHeight="false" outlineLevel="0" collapsed="false">
      <c r="A619" s="79" t="n">
        <v>618</v>
      </c>
      <c r="B619" s="79" t="s">
        <v>5</v>
      </c>
      <c r="C619" s="79" t="s">
        <v>2692</v>
      </c>
      <c r="D619" s="79" t="s">
        <v>2693</v>
      </c>
      <c r="E619" s="80" t="s">
        <v>2694</v>
      </c>
      <c r="F619" s="79" t="s">
        <v>2695</v>
      </c>
      <c r="G619" s="79" t="s">
        <v>88</v>
      </c>
      <c r="H619" s="79"/>
    </row>
    <row r="620" customFormat="false" ht="15" hidden="false" customHeight="false" outlineLevel="0" collapsed="false">
      <c r="A620" s="79" t="n">
        <v>619</v>
      </c>
      <c r="B620" s="79" t="s">
        <v>5</v>
      </c>
      <c r="C620" s="79" t="s">
        <v>2696</v>
      </c>
      <c r="D620" s="79" t="s">
        <v>2697</v>
      </c>
      <c r="E620" s="80" t="s">
        <v>2698</v>
      </c>
      <c r="F620" s="79" t="s">
        <v>454</v>
      </c>
      <c r="G620" s="79" t="s">
        <v>88</v>
      </c>
      <c r="H620" s="79"/>
    </row>
    <row r="621" customFormat="false" ht="15" hidden="false" customHeight="false" outlineLevel="0" collapsed="false">
      <c r="A621" s="79" t="n">
        <v>620</v>
      </c>
      <c r="B621" s="79" t="s">
        <v>5</v>
      </c>
      <c r="C621" s="79" t="s">
        <v>2699</v>
      </c>
      <c r="D621" s="79" t="s">
        <v>2700</v>
      </c>
      <c r="E621" s="80" t="s">
        <v>2701</v>
      </c>
      <c r="F621" s="79" t="s">
        <v>2702</v>
      </c>
      <c r="G621" s="79" t="s">
        <v>88</v>
      </c>
      <c r="H621" s="79"/>
    </row>
    <row r="622" customFormat="false" ht="15" hidden="false" customHeight="false" outlineLevel="0" collapsed="false">
      <c r="A622" s="79" t="n">
        <v>621</v>
      </c>
      <c r="B622" s="79" t="s">
        <v>5</v>
      </c>
      <c r="C622" s="79" t="s">
        <v>2112</v>
      </c>
      <c r="D622" s="79" t="s">
        <v>2703</v>
      </c>
      <c r="E622" s="80" t="s">
        <v>2704</v>
      </c>
      <c r="F622" s="79" t="s">
        <v>2705</v>
      </c>
      <c r="G622" s="79" t="s">
        <v>88</v>
      </c>
      <c r="H622" s="79"/>
    </row>
    <row r="623" customFormat="false" ht="15" hidden="false" customHeight="false" outlineLevel="0" collapsed="false">
      <c r="A623" s="79" t="n">
        <v>622</v>
      </c>
      <c r="B623" s="79" t="s">
        <v>5</v>
      </c>
      <c r="C623" s="79" t="s">
        <v>2706</v>
      </c>
      <c r="D623" s="79" t="s">
        <v>2707</v>
      </c>
      <c r="E623" s="80" t="s">
        <v>2708</v>
      </c>
      <c r="F623" s="79" t="s">
        <v>2709</v>
      </c>
      <c r="G623" s="79" t="s">
        <v>88</v>
      </c>
      <c r="H623" s="79"/>
    </row>
    <row r="624" customFormat="false" ht="15" hidden="false" customHeight="false" outlineLevel="0" collapsed="false">
      <c r="A624" s="79" t="n">
        <v>623</v>
      </c>
      <c r="B624" s="79" t="s">
        <v>5</v>
      </c>
      <c r="C624" s="79" t="s">
        <v>2710</v>
      </c>
      <c r="D624" s="79" t="s">
        <v>2711</v>
      </c>
      <c r="E624" s="80" t="s">
        <v>2712</v>
      </c>
      <c r="F624" s="79" t="s">
        <v>1772</v>
      </c>
      <c r="G624" s="79" t="s">
        <v>88</v>
      </c>
      <c r="H624" s="79" t="s">
        <v>2713</v>
      </c>
    </row>
    <row r="625" customFormat="false" ht="15" hidden="false" customHeight="false" outlineLevel="0" collapsed="false">
      <c r="A625" s="79" t="n">
        <v>624</v>
      </c>
      <c r="B625" s="79" t="s">
        <v>5</v>
      </c>
      <c r="C625" s="79" t="s">
        <v>371</v>
      </c>
      <c r="D625" s="79" t="s">
        <v>2714</v>
      </c>
      <c r="E625" s="80" t="s">
        <v>2715</v>
      </c>
      <c r="F625" s="79" t="s">
        <v>2716</v>
      </c>
      <c r="G625" s="79" t="s">
        <v>88</v>
      </c>
      <c r="H625" s="79"/>
    </row>
    <row r="626" customFormat="false" ht="15" hidden="false" customHeight="false" outlineLevel="0" collapsed="false">
      <c r="A626" s="79" t="n">
        <v>625</v>
      </c>
      <c r="B626" s="79" t="s">
        <v>5</v>
      </c>
      <c r="C626" s="79" t="s">
        <v>2717</v>
      </c>
      <c r="D626" s="79" t="s">
        <v>2718</v>
      </c>
      <c r="E626" s="80" t="s">
        <v>2719</v>
      </c>
      <c r="F626" s="79" t="s">
        <v>2720</v>
      </c>
      <c r="G626" s="79" t="s">
        <v>88</v>
      </c>
      <c r="H626" s="79"/>
    </row>
    <row r="627" customFormat="false" ht="15" hidden="false" customHeight="false" outlineLevel="0" collapsed="false">
      <c r="A627" s="79" t="n">
        <v>626</v>
      </c>
      <c r="B627" s="79" t="s">
        <v>5</v>
      </c>
      <c r="C627" s="79" t="s">
        <v>2721</v>
      </c>
      <c r="D627" s="79" t="s">
        <v>2722</v>
      </c>
      <c r="E627" s="80" t="s">
        <v>2723</v>
      </c>
      <c r="F627" s="79" t="s">
        <v>2724</v>
      </c>
      <c r="G627" s="79" t="s">
        <v>88</v>
      </c>
      <c r="H627" s="79" t="s">
        <v>2725</v>
      </c>
    </row>
    <row r="628" customFormat="false" ht="15" hidden="false" customHeight="false" outlineLevel="0" collapsed="false">
      <c r="A628" s="79" t="n">
        <v>627</v>
      </c>
      <c r="B628" s="79" t="s">
        <v>5</v>
      </c>
      <c r="C628" s="79" t="s">
        <v>2726</v>
      </c>
      <c r="D628" s="79" t="s">
        <v>2727</v>
      </c>
      <c r="E628" s="80" t="s">
        <v>2728</v>
      </c>
      <c r="F628" s="79" t="s">
        <v>2729</v>
      </c>
      <c r="G628" s="79" t="s">
        <v>90</v>
      </c>
      <c r="H628" s="79" t="s">
        <v>845</v>
      </c>
    </row>
    <row r="629" customFormat="false" ht="15" hidden="false" customHeight="false" outlineLevel="0" collapsed="false">
      <c r="A629" s="79" t="n">
        <v>628</v>
      </c>
      <c r="B629" s="79" t="s">
        <v>5</v>
      </c>
      <c r="C629" s="79" t="s">
        <v>2730</v>
      </c>
      <c r="D629" s="79" t="s">
        <v>2731</v>
      </c>
      <c r="E629" s="80" t="s">
        <v>2732</v>
      </c>
      <c r="F629" s="79" t="s">
        <v>2733</v>
      </c>
      <c r="G629" s="79" t="s">
        <v>90</v>
      </c>
      <c r="H629" s="79"/>
    </row>
    <row r="630" customFormat="false" ht="15" hidden="false" customHeight="false" outlineLevel="0" collapsed="false">
      <c r="A630" s="79" t="n">
        <v>629</v>
      </c>
      <c r="B630" s="79" t="s">
        <v>5</v>
      </c>
      <c r="C630" s="79" t="s">
        <v>2090</v>
      </c>
      <c r="D630" s="79" t="s">
        <v>2734</v>
      </c>
      <c r="E630" s="80" t="s">
        <v>2092</v>
      </c>
      <c r="F630" s="79" t="s">
        <v>1378</v>
      </c>
      <c r="G630" s="79" t="s">
        <v>90</v>
      </c>
      <c r="H630" s="79"/>
    </row>
    <row r="631" customFormat="false" ht="15" hidden="false" customHeight="false" outlineLevel="0" collapsed="false">
      <c r="A631" s="79" t="n">
        <v>630</v>
      </c>
      <c r="B631" s="79" t="s">
        <v>5</v>
      </c>
      <c r="C631" s="79" t="s">
        <v>2735</v>
      </c>
      <c r="D631" s="79" t="s">
        <v>2736</v>
      </c>
      <c r="E631" s="80" t="s">
        <v>2737</v>
      </c>
      <c r="F631" s="79" t="s">
        <v>335</v>
      </c>
      <c r="G631" s="79" t="s">
        <v>90</v>
      </c>
      <c r="H631" s="79"/>
    </row>
    <row r="632" customFormat="false" ht="15" hidden="false" customHeight="false" outlineLevel="0" collapsed="false">
      <c r="A632" s="79" t="n">
        <v>631</v>
      </c>
      <c r="B632" s="79" t="s">
        <v>5</v>
      </c>
      <c r="C632" s="79" t="s">
        <v>2738</v>
      </c>
      <c r="D632" s="79" t="s">
        <v>2739</v>
      </c>
      <c r="E632" s="80" t="s">
        <v>2740</v>
      </c>
      <c r="F632" s="79" t="s">
        <v>2741</v>
      </c>
      <c r="G632" s="79" t="s">
        <v>90</v>
      </c>
      <c r="H632" s="79"/>
    </row>
    <row r="633" customFormat="false" ht="15" hidden="false" customHeight="false" outlineLevel="0" collapsed="false">
      <c r="A633" s="79" t="n">
        <v>632</v>
      </c>
      <c r="B633" s="79" t="s">
        <v>5</v>
      </c>
      <c r="C633" s="79" t="s">
        <v>2742</v>
      </c>
      <c r="D633" s="79" t="s">
        <v>2743</v>
      </c>
      <c r="E633" s="80" t="s">
        <v>2744</v>
      </c>
      <c r="F633" s="79" t="s">
        <v>2745</v>
      </c>
      <c r="G633" s="79" t="s">
        <v>90</v>
      </c>
      <c r="H633" s="79"/>
    </row>
    <row r="634" customFormat="false" ht="15" hidden="false" customHeight="false" outlineLevel="0" collapsed="false">
      <c r="A634" s="79" t="n">
        <v>633</v>
      </c>
      <c r="B634" s="79" t="s">
        <v>5</v>
      </c>
      <c r="C634" s="79" t="s">
        <v>2746</v>
      </c>
      <c r="D634" s="79" t="s">
        <v>2747</v>
      </c>
      <c r="E634" s="80" t="s">
        <v>2748</v>
      </c>
      <c r="F634" s="79" t="s">
        <v>2749</v>
      </c>
      <c r="G634" s="79" t="s">
        <v>90</v>
      </c>
      <c r="H634" s="79" t="s">
        <v>845</v>
      </c>
    </row>
    <row r="635" customFormat="false" ht="15" hidden="false" customHeight="false" outlineLevel="0" collapsed="false">
      <c r="A635" s="79" t="n">
        <v>634</v>
      </c>
      <c r="B635" s="79" t="s">
        <v>5</v>
      </c>
      <c r="C635" s="79" t="s">
        <v>2750</v>
      </c>
      <c r="D635" s="79" t="s">
        <v>2751</v>
      </c>
      <c r="E635" s="80" t="s">
        <v>2752</v>
      </c>
      <c r="F635" s="79" t="s">
        <v>2753</v>
      </c>
      <c r="G635" s="79" t="s">
        <v>92</v>
      </c>
      <c r="H635" s="79" t="s">
        <v>845</v>
      </c>
    </row>
    <row r="636" customFormat="false" ht="15" hidden="false" customHeight="false" outlineLevel="0" collapsed="false">
      <c r="A636" s="79" t="n">
        <v>635</v>
      </c>
      <c r="B636" s="79" t="s">
        <v>5</v>
      </c>
      <c r="C636" s="79" t="s">
        <v>2754</v>
      </c>
      <c r="D636" s="79" t="s">
        <v>2755</v>
      </c>
      <c r="E636" s="80" t="s">
        <v>2756</v>
      </c>
      <c r="F636" s="79" t="s">
        <v>2757</v>
      </c>
      <c r="G636" s="79" t="s">
        <v>92</v>
      </c>
      <c r="H636" s="79" t="s">
        <v>845</v>
      </c>
    </row>
    <row r="637" customFormat="false" ht="15" hidden="false" customHeight="false" outlineLevel="0" collapsed="false">
      <c r="A637" s="79" t="n">
        <v>636</v>
      </c>
      <c r="B637" s="79" t="s">
        <v>5</v>
      </c>
      <c r="C637" s="79" t="s">
        <v>2758</v>
      </c>
      <c r="D637" s="79" t="s">
        <v>2759</v>
      </c>
      <c r="E637" s="80" t="s">
        <v>2760</v>
      </c>
      <c r="F637" s="79" t="s">
        <v>2761</v>
      </c>
      <c r="G637" s="79" t="s">
        <v>92</v>
      </c>
      <c r="H637" s="79" t="s">
        <v>845</v>
      </c>
    </row>
    <row r="638" customFormat="false" ht="15" hidden="false" customHeight="false" outlineLevel="0" collapsed="false">
      <c r="A638" s="79" t="n">
        <v>637</v>
      </c>
      <c r="B638" s="79" t="s">
        <v>5</v>
      </c>
      <c r="C638" s="79" t="s">
        <v>2762</v>
      </c>
      <c r="D638" s="79" t="s">
        <v>2763</v>
      </c>
      <c r="E638" s="80" t="s">
        <v>2764</v>
      </c>
      <c r="F638" s="79" t="s">
        <v>950</v>
      </c>
      <c r="G638" s="79" t="s">
        <v>92</v>
      </c>
      <c r="H638" s="79" t="s">
        <v>845</v>
      </c>
    </row>
    <row r="639" customFormat="false" ht="15" hidden="false" customHeight="false" outlineLevel="0" collapsed="false">
      <c r="A639" s="79" t="n">
        <v>638</v>
      </c>
      <c r="B639" s="79" t="s">
        <v>5</v>
      </c>
      <c r="C639" s="79" t="s">
        <v>2765</v>
      </c>
      <c r="D639" s="79" t="s">
        <v>2766</v>
      </c>
      <c r="E639" s="80" t="s">
        <v>2767</v>
      </c>
      <c r="F639" s="79" t="s">
        <v>2768</v>
      </c>
      <c r="G639" s="79" t="s">
        <v>92</v>
      </c>
      <c r="H639" s="79"/>
    </row>
    <row r="640" customFormat="false" ht="15" hidden="false" customHeight="false" outlineLevel="0" collapsed="false">
      <c r="A640" s="79" t="n">
        <v>639</v>
      </c>
      <c r="B640" s="79" t="s">
        <v>5</v>
      </c>
      <c r="C640" s="79" t="s">
        <v>2769</v>
      </c>
      <c r="D640" s="79" t="s">
        <v>2770</v>
      </c>
      <c r="E640" s="80" t="s">
        <v>2771</v>
      </c>
      <c r="F640" s="79" t="s">
        <v>668</v>
      </c>
      <c r="G640" s="79" t="s">
        <v>92</v>
      </c>
      <c r="H640" s="79"/>
    </row>
    <row r="641" customFormat="false" ht="15" hidden="false" customHeight="false" outlineLevel="0" collapsed="false">
      <c r="A641" s="79" t="n">
        <v>640</v>
      </c>
      <c r="B641" s="79" t="s">
        <v>5</v>
      </c>
      <c r="C641" s="79" t="s">
        <v>2772</v>
      </c>
      <c r="D641" s="79" t="s">
        <v>2773</v>
      </c>
      <c r="E641" s="80" t="s">
        <v>2774</v>
      </c>
      <c r="F641" s="79" t="s">
        <v>2775</v>
      </c>
      <c r="G641" s="79" t="s">
        <v>92</v>
      </c>
      <c r="H641" s="79"/>
    </row>
    <row r="642" customFormat="false" ht="15" hidden="false" customHeight="false" outlineLevel="0" collapsed="false">
      <c r="A642" s="79" t="n">
        <v>641</v>
      </c>
      <c r="B642" s="79" t="s">
        <v>5</v>
      </c>
      <c r="C642" s="79" t="s">
        <v>2776</v>
      </c>
      <c r="D642" s="79" t="s">
        <v>2777</v>
      </c>
      <c r="E642" s="80" t="s">
        <v>2778</v>
      </c>
      <c r="F642" s="79" t="s">
        <v>2779</v>
      </c>
      <c r="G642" s="79" t="s">
        <v>92</v>
      </c>
      <c r="H642" s="79"/>
    </row>
    <row r="643" customFormat="false" ht="15" hidden="false" customHeight="false" outlineLevel="0" collapsed="false">
      <c r="A643" s="79" t="n">
        <v>642</v>
      </c>
      <c r="B643" s="79" t="s">
        <v>5</v>
      </c>
      <c r="C643" s="79" t="s">
        <v>2780</v>
      </c>
      <c r="D643" s="79" t="s">
        <v>2781</v>
      </c>
      <c r="E643" s="80" t="s">
        <v>2782</v>
      </c>
      <c r="F643" s="79" t="s">
        <v>2783</v>
      </c>
      <c r="G643" s="79" t="s">
        <v>92</v>
      </c>
      <c r="H643" s="79"/>
    </row>
    <row r="644" customFormat="false" ht="15" hidden="false" customHeight="false" outlineLevel="0" collapsed="false">
      <c r="A644" s="79" t="n">
        <v>643</v>
      </c>
      <c r="B644" s="79" t="s">
        <v>5</v>
      </c>
      <c r="C644" s="79" t="s">
        <v>2784</v>
      </c>
      <c r="D644" s="79" t="s">
        <v>2785</v>
      </c>
      <c r="E644" s="80" t="s">
        <v>2786</v>
      </c>
      <c r="F644" s="79" t="s">
        <v>2787</v>
      </c>
      <c r="G644" s="79" t="s">
        <v>92</v>
      </c>
      <c r="H644" s="79"/>
    </row>
    <row r="645" customFormat="false" ht="15" hidden="false" customHeight="false" outlineLevel="0" collapsed="false">
      <c r="A645" s="79" t="n">
        <v>644</v>
      </c>
      <c r="B645" s="79" t="s">
        <v>5</v>
      </c>
      <c r="C645" s="79" t="s">
        <v>2788</v>
      </c>
      <c r="D645" s="79" t="s">
        <v>2789</v>
      </c>
      <c r="E645" s="80" t="s">
        <v>2790</v>
      </c>
      <c r="F645" s="79" t="s">
        <v>2791</v>
      </c>
      <c r="G645" s="79" t="s">
        <v>92</v>
      </c>
      <c r="H645" s="79"/>
    </row>
    <row r="646" customFormat="false" ht="15" hidden="false" customHeight="false" outlineLevel="0" collapsed="false">
      <c r="A646" s="79" t="n">
        <v>645</v>
      </c>
      <c r="B646" s="79" t="s">
        <v>5</v>
      </c>
      <c r="C646" s="79" t="s">
        <v>2792</v>
      </c>
      <c r="D646" s="79" t="s">
        <v>2793</v>
      </c>
      <c r="E646" s="80" t="s">
        <v>2794</v>
      </c>
      <c r="F646" s="79" t="s">
        <v>2795</v>
      </c>
      <c r="G646" s="79" t="s">
        <v>94</v>
      </c>
      <c r="H646" s="79"/>
    </row>
    <row r="647" customFormat="false" ht="15" hidden="false" customHeight="false" outlineLevel="0" collapsed="false">
      <c r="A647" s="79" t="n">
        <v>646</v>
      </c>
      <c r="B647" s="79" t="s">
        <v>5</v>
      </c>
      <c r="C647" s="79" t="s">
        <v>2796</v>
      </c>
      <c r="D647" s="79" t="s">
        <v>2797</v>
      </c>
      <c r="E647" s="80" t="s">
        <v>2798</v>
      </c>
      <c r="F647" s="79" t="s">
        <v>2799</v>
      </c>
      <c r="G647" s="79" t="s">
        <v>94</v>
      </c>
      <c r="H647" s="79"/>
    </row>
    <row r="648" customFormat="false" ht="15" hidden="false" customHeight="false" outlineLevel="0" collapsed="false">
      <c r="A648" s="79" t="n">
        <v>647</v>
      </c>
      <c r="B648" s="79" t="s">
        <v>5</v>
      </c>
      <c r="C648" s="79" t="s">
        <v>2800</v>
      </c>
      <c r="D648" s="79" t="s">
        <v>2801</v>
      </c>
      <c r="E648" s="80" t="s">
        <v>2802</v>
      </c>
      <c r="F648" s="79" t="s">
        <v>2803</v>
      </c>
      <c r="G648" s="79" t="s">
        <v>94</v>
      </c>
      <c r="H648" s="79"/>
    </row>
    <row r="649" customFormat="false" ht="15" hidden="false" customHeight="false" outlineLevel="0" collapsed="false">
      <c r="A649" s="79" t="n">
        <v>648</v>
      </c>
      <c r="B649" s="79" t="s">
        <v>5</v>
      </c>
      <c r="C649" s="79" t="s">
        <v>2804</v>
      </c>
      <c r="D649" s="79" t="s">
        <v>2805</v>
      </c>
      <c r="E649" s="79" t="s">
        <v>2806</v>
      </c>
      <c r="F649" s="79" t="s">
        <v>2807</v>
      </c>
      <c r="G649" s="79" t="s">
        <v>94</v>
      </c>
      <c r="H649" s="79"/>
    </row>
    <row r="650" customFormat="false" ht="15" hidden="false" customHeight="false" outlineLevel="0" collapsed="false">
      <c r="A650" s="79" t="n">
        <v>649</v>
      </c>
      <c r="B650" s="79" t="s">
        <v>5</v>
      </c>
      <c r="C650" s="79" t="s">
        <v>2808</v>
      </c>
      <c r="D650" s="79" t="s">
        <v>2809</v>
      </c>
      <c r="E650" s="80" t="s">
        <v>2810</v>
      </c>
      <c r="F650" s="79" t="s">
        <v>2811</v>
      </c>
      <c r="G650" s="79" t="s">
        <v>94</v>
      </c>
      <c r="H650" s="79"/>
    </row>
    <row r="651" customFormat="false" ht="15" hidden="false" customHeight="false" outlineLevel="0" collapsed="false">
      <c r="A651" s="79" t="n">
        <v>650</v>
      </c>
      <c r="B651" s="79" t="s">
        <v>5</v>
      </c>
      <c r="C651" s="79" t="s">
        <v>2812</v>
      </c>
      <c r="D651" s="79" t="s">
        <v>2813</v>
      </c>
      <c r="E651" s="80" t="s">
        <v>2814</v>
      </c>
      <c r="F651" s="79" t="s">
        <v>2815</v>
      </c>
      <c r="G651" s="79" t="s">
        <v>94</v>
      </c>
      <c r="H651" s="79"/>
    </row>
    <row r="652" customFormat="false" ht="15" hidden="false" customHeight="false" outlineLevel="0" collapsed="false">
      <c r="A652" s="79" t="n">
        <v>651</v>
      </c>
      <c r="B652" s="79" t="s">
        <v>5</v>
      </c>
      <c r="C652" s="79" t="s">
        <v>2816</v>
      </c>
      <c r="D652" s="79" t="s">
        <v>2817</v>
      </c>
      <c r="E652" s="80" t="s">
        <v>2818</v>
      </c>
      <c r="F652" s="79" t="s">
        <v>2819</v>
      </c>
      <c r="G652" s="79" t="s">
        <v>94</v>
      </c>
      <c r="H652" s="79"/>
    </row>
    <row r="653" customFormat="false" ht="15" hidden="false" customHeight="false" outlineLevel="0" collapsed="false">
      <c r="A653" s="79" t="n">
        <v>652</v>
      </c>
      <c r="B653" s="79" t="s">
        <v>5</v>
      </c>
      <c r="C653" s="79" t="s">
        <v>2820</v>
      </c>
      <c r="D653" s="79" t="s">
        <v>2821</v>
      </c>
      <c r="E653" s="80" t="s">
        <v>623</v>
      </c>
      <c r="F653" s="79" t="s">
        <v>624</v>
      </c>
      <c r="G653" s="79" t="s">
        <v>94</v>
      </c>
      <c r="H653" s="79"/>
    </row>
    <row r="654" customFormat="false" ht="15" hidden="false" customHeight="false" outlineLevel="0" collapsed="false">
      <c r="A654" s="79" t="n">
        <v>653</v>
      </c>
      <c r="B654" s="79" t="s">
        <v>5</v>
      </c>
      <c r="C654" s="79" t="s">
        <v>2822</v>
      </c>
      <c r="D654" s="79" t="s">
        <v>2823</v>
      </c>
      <c r="E654" s="80" t="s">
        <v>2824</v>
      </c>
      <c r="F654" s="79" t="s">
        <v>2825</v>
      </c>
      <c r="G654" s="79" t="s">
        <v>94</v>
      </c>
      <c r="H654" s="79"/>
    </row>
    <row r="655" customFormat="false" ht="15" hidden="false" customHeight="false" outlineLevel="0" collapsed="false">
      <c r="A655" s="79" t="n">
        <v>654</v>
      </c>
      <c r="B655" s="79" t="s">
        <v>5</v>
      </c>
      <c r="C655" s="79" t="s">
        <v>2826</v>
      </c>
      <c r="D655" s="79" t="s">
        <v>2827</v>
      </c>
      <c r="E655" s="80" t="s">
        <v>2828</v>
      </c>
      <c r="F655" s="79" t="s">
        <v>2829</v>
      </c>
      <c r="G655" s="79" t="s">
        <v>94</v>
      </c>
      <c r="H655" s="79"/>
    </row>
    <row r="656" customFormat="false" ht="15" hidden="false" customHeight="false" outlineLevel="0" collapsed="false">
      <c r="A656" s="79" t="n">
        <v>655</v>
      </c>
      <c r="B656" s="79" t="s">
        <v>5</v>
      </c>
      <c r="C656" s="79" t="s">
        <v>2830</v>
      </c>
      <c r="D656" s="79" t="s">
        <v>2831</v>
      </c>
      <c r="E656" s="80" t="s">
        <v>2832</v>
      </c>
      <c r="F656" s="79" t="s">
        <v>2833</v>
      </c>
      <c r="G656" s="79" t="s">
        <v>94</v>
      </c>
      <c r="H656" s="79"/>
    </row>
    <row r="657" customFormat="false" ht="15" hidden="false" customHeight="false" outlineLevel="0" collapsed="false">
      <c r="A657" s="79" t="n">
        <v>656</v>
      </c>
      <c r="B657" s="79" t="s">
        <v>5</v>
      </c>
      <c r="C657" s="79" t="s">
        <v>2834</v>
      </c>
      <c r="D657" s="79" t="s">
        <v>2835</v>
      </c>
      <c r="E657" s="80" t="s">
        <v>2836</v>
      </c>
      <c r="F657" s="79" t="s">
        <v>2837</v>
      </c>
      <c r="G657" s="79" t="s">
        <v>94</v>
      </c>
      <c r="H657" s="79"/>
    </row>
    <row r="658" customFormat="false" ht="15" hidden="false" customHeight="false" outlineLevel="0" collapsed="false">
      <c r="A658" s="79" t="n">
        <v>657</v>
      </c>
      <c r="B658" s="79" t="s">
        <v>5</v>
      </c>
      <c r="C658" s="79" t="s">
        <v>2838</v>
      </c>
      <c r="D658" s="79" t="s">
        <v>2839</v>
      </c>
      <c r="E658" s="80" t="s">
        <v>2840</v>
      </c>
      <c r="F658" s="79" t="s">
        <v>2841</v>
      </c>
      <c r="G658" s="79" t="s">
        <v>94</v>
      </c>
      <c r="H658" s="79"/>
    </row>
    <row r="659" customFormat="false" ht="15" hidden="false" customHeight="false" outlineLevel="0" collapsed="false">
      <c r="A659" s="79" t="n">
        <v>658</v>
      </c>
      <c r="B659" s="79" t="s">
        <v>5</v>
      </c>
      <c r="C659" s="79" t="s">
        <v>2842</v>
      </c>
      <c r="D659" s="79" t="s">
        <v>2843</v>
      </c>
      <c r="E659" s="80" t="s">
        <v>2844</v>
      </c>
      <c r="F659" s="79" t="s">
        <v>2845</v>
      </c>
      <c r="G659" s="79" t="s">
        <v>94</v>
      </c>
      <c r="H659" s="79"/>
    </row>
    <row r="660" customFormat="false" ht="15" hidden="false" customHeight="false" outlineLevel="0" collapsed="false">
      <c r="A660" s="79" t="n">
        <v>659</v>
      </c>
      <c r="B660" s="79" t="s">
        <v>5</v>
      </c>
      <c r="C660" s="79" t="s">
        <v>2846</v>
      </c>
      <c r="D660" s="79" t="s">
        <v>2847</v>
      </c>
      <c r="E660" s="80" t="s">
        <v>2848</v>
      </c>
      <c r="F660" s="79" t="s">
        <v>2849</v>
      </c>
      <c r="G660" s="79" t="s">
        <v>94</v>
      </c>
      <c r="H660" s="79"/>
    </row>
    <row r="661" customFormat="false" ht="15" hidden="false" customHeight="false" outlineLevel="0" collapsed="false">
      <c r="A661" s="81" t="n">
        <v>660</v>
      </c>
      <c r="B661" s="81" t="s">
        <v>7</v>
      </c>
      <c r="C661" s="81" t="s">
        <v>2850</v>
      </c>
      <c r="D661" s="81" t="s">
        <v>2851</v>
      </c>
      <c r="E661" s="82" t="s">
        <v>2852</v>
      </c>
      <c r="F661" s="81" t="s">
        <v>2853</v>
      </c>
      <c r="G661" s="81" t="s">
        <v>100</v>
      </c>
      <c r="H661" s="81" t="s">
        <v>2854</v>
      </c>
    </row>
    <row r="662" customFormat="false" ht="15" hidden="false" customHeight="false" outlineLevel="0" collapsed="false">
      <c r="A662" s="81" t="n">
        <v>661</v>
      </c>
      <c r="B662" s="81" t="s">
        <v>7</v>
      </c>
      <c r="C662" s="81" t="s">
        <v>2855</v>
      </c>
      <c r="D662" s="81" t="s">
        <v>2856</v>
      </c>
      <c r="E662" s="82" t="s">
        <v>2857</v>
      </c>
      <c r="F662" s="81" t="s">
        <v>2858</v>
      </c>
      <c r="G662" s="81" t="s">
        <v>100</v>
      </c>
      <c r="H662" s="81" t="s">
        <v>2859</v>
      </c>
    </row>
    <row r="663" customFormat="false" ht="15" hidden="false" customHeight="false" outlineLevel="0" collapsed="false">
      <c r="A663" s="81" t="n">
        <v>662</v>
      </c>
      <c r="B663" s="81" t="s">
        <v>7</v>
      </c>
      <c r="C663" s="81" t="s">
        <v>2860</v>
      </c>
      <c r="D663" s="81" t="s">
        <v>2861</v>
      </c>
      <c r="E663" s="82" t="s">
        <v>2862</v>
      </c>
      <c r="F663" s="81" t="s">
        <v>2863</v>
      </c>
      <c r="G663" s="81" t="s">
        <v>100</v>
      </c>
      <c r="H663" s="81" t="s">
        <v>2864</v>
      </c>
    </row>
    <row r="664" customFormat="false" ht="15" hidden="false" customHeight="false" outlineLevel="0" collapsed="false">
      <c r="A664" s="81" t="n">
        <v>663</v>
      </c>
      <c r="B664" s="81" t="s">
        <v>7</v>
      </c>
      <c r="C664" s="81" t="s">
        <v>2865</v>
      </c>
      <c r="D664" s="81" t="s">
        <v>2866</v>
      </c>
      <c r="E664" s="82" t="s">
        <v>2867</v>
      </c>
      <c r="F664" s="81" t="s">
        <v>2868</v>
      </c>
      <c r="G664" s="81" t="s">
        <v>100</v>
      </c>
      <c r="H664" s="81" t="s">
        <v>2869</v>
      </c>
    </row>
    <row r="665" customFormat="false" ht="15" hidden="false" customHeight="false" outlineLevel="0" collapsed="false">
      <c r="A665" s="81" t="n">
        <v>664</v>
      </c>
      <c r="B665" s="81" t="s">
        <v>7</v>
      </c>
      <c r="C665" s="81" t="s">
        <v>2870</v>
      </c>
      <c r="D665" s="81" t="s">
        <v>2871</v>
      </c>
      <c r="E665" s="82" t="s">
        <v>2872</v>
      </c>
      <c r="F665" s="81" t="s">
        <v>2873</v>
      </c>
      <c r="G665" s="81" t="s">
        <v>100</v>
      </c>
      <c r="H665" s="81"/>
    </row>
    <row r="666" customFormat="false" ht="15" hidden="false" customHeight="false" outlineLevel="0" collapsed="false">
      <c r="A666" s="81" t="n">
        <v>665</v>
      </c>
      <c r="B666" s="81" t="s">
        <v>7</v>
      </c>
      <c r="C666" s="81" t="s">
        <v>2874</v>
      </c>
      <c r="D666" s="81" t="s">
        <v>2875</v>
      </c>
      <c r="E666" s="82" t="s">
        <v>2876</v>
      </c>
      <c r="F666" s="81" t="s">
        <v>2877</v>
      </c>
      <c r="G666" s="81" t="s">
        <v>100</v>
      </c>
      <c r="H666" s="81" t="s">
        <v>2878</v>
      </c>
    </row>
    <row r="667" customFormat="false" ht="15" hidden="false" customHeight="false" outlineLevel="0" collapsed="false">
      <c r="A667" s="81" t="n">
        <v>666</v>
      </c>
      <c r="B667" s="81" t="s">
        <v>7</v>
      </c>
      <c r="C667" s="81" t="s">
        <v>2879</v>
      </c>
      <c r="D667" s="81" t="s">
        <v>2880</v>
      </c>
      <c r="E667" s="82" t="s">
        <v>2881</v>
      </c>
      <c r="F667" s="81" t="s">
        <v>2882</v>
      </c>
      <c r="G667" s="81" t="s">
        <v>100</v>
      </c>
      <c r="H667" s="81" t="s">
        <v>2883</v>
      </c>
    </row>
    <row r="668" customFormat="false" ht="15" hidden="false" customHeight="false" outlineLevel="0" collapsed="false">
      <c r="A668" s="81" t="n">
        <v>667</v>
      </c>
      <c r="B668" s="81" t="s">
        <v>7</v>
      </c>
      <c r="C668" s="81" t="s">
        <v>2884</v>
      </c>
      <c r="D668" s="81" t="s">
        <v>2885</v>
      </c>
      <c r="E668" s="82" t="s">
        <v>2886</v>
      </c>
      <c r="F668" s="81" t="s">
        <v>2887</v>
      </c>
      <c r="G668" s="81" t="s">
        <v>100</v>
      </c>
      <c r="H668" s="81" t="s">
        <v>2888</v>
      </c>
    </row>
    <row r="669" customFormat="false" ht="15" hidden="false" customHeight="false" outlineLevel="0" collapsed="false">
      <c r="A669" s="81" t="n">
        <v>668</v>
      </c>
      <c r="B669" s="81" t="s">
        <v>7</v>
      </c>
      <c r="C669" s="81" t="s">
        <v>2889</v>
      </c>
      <c r="D669" s="81" t="s">
        <v>2890</v>
      </c>
      <c r="E669" s="82" t="s">
        <v>2891</v>
      </c>
      <c r="F669" s="81" t="s">
        <v>2892</v>
      </c>
      <c r="G669" s="81" t="s">
        <v>100</v>
      </c>
      <c r="H669" s="81" t="s">
        <v>2893</v>
      </c>
    </row>
    <row r="670" customFormat="false" ht="15" hidden="false" customHeight="false" outlineLevel="0" collapsed="false">
      <c r="A670" s="81" t="n">
        <v>669</v>
      </c>
      <c r="B670" s="81" t="s">
        <v>7</v>
      </c>
      <c r="C670" s="81" t="s">
        <v>2894</v>
      </c>
      <c r="D670" s="81" t="s">
        <v>2895</v>
      </c>
      <c r="E670" s="82" t="s">
        <v>2896</v>
      </c>
      <c r="F670" s="81" t="s">
        <v>2897</v>
      </c>
      <c r="G670" s="81" t="s">
        <v>100</v>
      </c>
      <c r="H670" s="81" t="s">
        <v>2898</v>
      </c>
    </row>
    <row r="671" customFormat="false" ht="15" hidden="false" customHeight="false" outlineLevel="0" collapsed="false">
      <c r="A671" s="81" t="n">
        <v>670</v>
      </c>
      <c r="B671" s="81" t="s">
        <v>7</v>
      </c>
      <c r="C671" s="81" t="s">
        <v>2899</v>
      </c>
      <c r="D671" s="81" t="s">
        <v>1626</v>
      </c>
      <c r="E671" s="82" t="s">
        <v>1627</v>
      </c>
      <c r="F671" s="81" t="s">
        <v>1628</v>
      </c>
      <c r="G671" s="81" t="s">
        <v>100</v>
      </c>
      <c r="H671" s="81" t="s">
        <v>2900</v>
      </c>
    </row>
    <row r="672" customFormat="false" ht="15" hidden="false" customHeight="false" outlineLevel="0" collapsed="false">
      <c r="A672" s="81" t="n">
        <v>671</v>
      </c>
      <c r="B672" s="81" t="s">
        <v>7</v>
      </c>
      <c r="C672" s="81" t="s">
        <v>2901</v>
      </c>
      <c r="D672" s="81" t="s">
        <v>2902</v>
      </c>
      <c r="E672" s="82" t="s">
        <v>2903</v>
      </c>
      <c r="F672" s="81" t="s">
        <v>2904</v>
      </c>
      <c r="G672" s="81" t="s">
        <v>100</v>
      </c>
      <c r="H672" s="81" t="s">
        <v>2905</v>
      </c>
    </row>
    <row r="673" customFormat="false" ht="15" hidden="false" customHeight="false" outlineLevel="0" collapsed="false">
      <c r="A673" s="81" t="n">
        <v>672</v>
      </c>
      <c r="B673" s="81" t="s">
        <v>7</v>
      </c>
      <c r="C673" s="81" t="s">
        <v>2906</v>
      </c>
      <c r="D673" s="81" t="s">
        <v>2907</v>
      </c>
      <c r="E673" s="82" t="s">
        <v>2908</v>
      </c>
      <c r="F673" s="81" t="s">
        <v>2909</v>
      </c>
      <c r="G673" s="81" t="s">
        <v>100</v>
      </c>
      <c r="H673" s="81" t="s">
        <v>2910</v>
      </c>
    </row>
    <row r="674" customFormat="false" ht="15" hidden="false" customHeight="false" outlineLevel="0" collapsed="false">
      <c r="A674" s="81" t="n">
        <v>673</v>
      </c>
      <c r="B674" s="81" t="s">
        <v>7</v>
      </c>
      <c r="C674" s="81" t="s">
        <v>2911</v>
      </c>
      <c r="D674" s="81" t="s">
        <v>2912</v>
      </c>
      <c r="E674" s="82" t="s">
        <v>2913</v>
      </c>
      <c r="F674" s="81" t="s">
        <v>2914</v>
      </c>
      <c r="G674" s="81" t="s">
        <v>100</v>
      </c>
      <c r="H674" s="81" t="s">
        <v>2915</v>
      </c>
    </row>
    <row r="675" customFormat="false" ht="15" hidden="false" customHeight="false" outlineLevel="0" collapsed="false">
      <c r="A675" s="81" t="n">
        <v>674</v>
      </c>
      <c r="B675" s="81" t="s">
        <v>7</v>
      </c>
      <c r="C675" s="81" t="s">
        <v>2916</v>
      </c>
      <c r="D675" s="81" t="s">
        <v>2917</v>
      </c>
      <c r="E675" s="82" t="s">
        <v>2918</v>
      </c>
      <c r="F675" s="81" t="s">
        <v>2919</v>
      </c>
      <c r="G675" s="81" t="s">
        <v>100</v>
      </c>
      <c r="H675" s="81"/>
    </row>
    <row r="676" customFormat="false" ht="15" hidden="false" customHeight="false" outlineLevel="0" collapsed="false">
      <c r="A676" s="81" t="n">
        <v>675</v>
      </c>
      <c r="B676" s="81" t="s">
        <v>7</v>
      </c>
      <c r="C676" s="81" t="s">
        <v>1931</v>
      </c>
      <c r="D676" s="81" t="s">
        <v>1932</v>
      </c>
      <c r="E676" s="82" t="s">
        <v>1933</v>
      </c>
      <c r="F676" s="81" t="s">
        <v>1934</v>
      </c>
      <c r="G676" s="81" t="s">
        <v>100</v>
      </c>
      <c r="H676" s="81" t="s">
        <v>845</v>
      </c>
    </row>
    <row r="677" customFormat="false" ht="15" hidden="false" customHeight="false" outlineLevel="0" collapsed="false">
      <c r="A677" s="81" t="n">
        <v>676</v>
      </c>
      <c r="B677" s="81" t="s">
        <v>7</v>
      </c>
      <c r="C677" s="81" t="s">
        <v>2920</v>
      </c>
      <c r="D677" s="81" t="s">
        <v>2921</v>
      </c>
      <c r="E677" s="82" t="s">
        <v>2922</v>
      </c>
      <c r="F677" s="81" t="s">
        <v>2923</v>
      </c>
      <c r="G677" s="81" t="s">
        <v>100</v>
      </c>
      <c r="H677" s="81" t="s">
        <v>2924</v>
      </c>
    </row>
    <row r="678" customFormat="false" ht="15" hidden="false" customHeight="false" outlineLevel="0" collapsed="false">
      <c r="A678" s="81" t="n">
        <v>677</v>
      </c>
      <c r="B678" s="81" t="s">
        <v>7</v>
      </c>
      <c r="C678" s="81" t="s">
        <v>2925</v>
      </c>
      <c r="D678" s="81" t="s">
        <v>2926</v>
      </c>
      <c r="E678" s="82" t="s">
        <v>2927</v>
      </c>
      <c r="F678" s="81" t="s">
        <v>2928</v>
      </c>
      <c r="G678" s="81" t="s">
        <v>100</v>
      </c>
      <c r="H678" s="81"/>
    </row>
    <row r="679" customFormat="false" ht="15" hidden="false" customHeight="false" outlineLevel="0" collapsed="false">
      <c r="A679" s="81" t="n">
        <v>678</v>
      </c>
      <c r="B679" s="81" t="s">
        <v>7</v>
      </c>
      <c r="C679" s="81" t="s">
        <v>2929</v>
      </c>
      <c r="D679" s="81" t="s">
        <v>2930</v>
      </c>
      <c r="E679" s="82" t="s">
        <v>2931</v>
      </c>
      <c r="F679" s="81" t="s">
        <v>2932</v>
      </c>
      <c r="G679" s="81" t="s">
        <v>100</v>
      </c>
      <c r="H679" s="81" t="s">
        <v>2933</v>
      </c>
    </row>
    <row r="680" customFormat="false" ht="15" hidden="false" customHeight="false" outlineLevel="0" collapsed="false">
      <c r="A680" s="81" t="n">
        <v>679</v>
      </c>
      <c r="B680" s="81" t="s">
        <v>7</v>
      </c>
      <c r="C680" s="81" t="s">
        <v>1860</v>
      </c>
      <c r="D680" s="81" t="s">
        <v>2934</v>
      </c>
      <c r="E680" s="82" t="s">
        <v>2935</v>
      </c>
      <c r="F680" s="81" t="s">
        <v>2936</v>
      </c>
      <c r="G680" s="81" t="s">
        <v>100</v>
      </c>
      <c r="H680" s="81"/>
    </row>
    <row r="681" customFormat="false" ht="15" hidden="false" customHeight="false" outlineLevel="0" collapsed="false">
      <c r="A681" s="81" t="n">
        <v>680</v>
      </c>
      <c r="B681" s="81" t="s">
        <v>7</v>
      </c>
      <c r="C681" s="81" t="s">
        <v>2937</v>
      </c>
      <c r="D681" s="81" t="s">
        <v>2938</v>
      </c>
      <c r="E681" s="82" t="s">
        <v>2939</v>
      </c>
      <c r="F681" s="81" t="s">
        <v>716</v>
      </c>
      <c r="G681" s="81" t="s">
        <v>100</v>
      </c>
      <c r="H681" s="81" t="s">
        <v>2940</v>
      </c>
    </row>
    <row r="682" customFormat="false" ht="15" hidden="false" customHeight="false" outlineLevel="0" collapsed="false">
      <c r="A682" s="81" t="n">
        <v>681</v>
      </c>
      <c r="B682" s="81" t="s">
        <v>7</v>
      </c>
      <c r="C682" s="81" t="s">
        <v>2941</v>
      </c>
      <c r="D682" s="81" t="s">
        <v>2942</v>
      </c>
      <c r="E682" s="82" t="s">
        <v>2943</v>
      </c>
      <c r="F682" s="81" t="s">
        <v>2944</v>
      </c>
      <c r="G682" s="81" t="s">
        <v>100</v>
      </c>
      <c r="H682" s="81" t="s">
        <v>2945</v>
      </c>
    </row>
    <row r="683" customFormat="false" ht="15" hidden="false" customHeight="false" outlineLevel="0" collapsed="false">
      <c r="A683" s="81" t="n">
        <v>682</v>
      </c>
      <c r="B683" s="81" t="s">
        <v>7</v>
      </c>
      <c r="C683" s="81" t="s">
        <v>2946</v>
      </c>
      <c r="D683" s="81" t="s">
        <v>2947</v>
      </c>
      <c r="E683" s="82" t="s">
        <v>2948</v>
      </c>
      <c r="F683" s="81" t="s">
        <v>2949</v>
      </c>
      <c r="G683" s="81" t="s">
        <v>100</v>
      </c>
      <c r="H683" s="81" t="s">
        <v>2950</v>
      </c>
    </row>
    <row r="684" customFormat="false" ht="15" hidden="false" customHeight="false" outlineLevel="0" collapsed="false">
      <c r="A684" s="81" t="n">
        <v>683</v>
      </c>
      <c r="B684" s="81" t="s">
        <v>7</v>
      </c>
      <c r="C684" s="81" t="s">
        <v>2951</v>
      </c>
      <c r="D684" s="81" t="s">
        <v>2952</v>
      </c>
      <c r="E684" s="82" t="s">
        <v>2953</v>
      </c>
      <c r="F684" s="81" t="s">
        <v>286</v>
      </c>
      <c r="G684" s="81" t="s">
        <v>100</v>
      </c>
      <c r="H684" s="81"/>
    </row>
    <row r="685" customFormat="false" ht="15" hidden="false" customHeight="false" outlineLevel="0" collapsed="false">
      <c r="A685" s="81" t="n">
        <v>684</v>
      </c>
      <c r="B685" s="81" t="s">
        <v>7</v>
      </c>
      <c r="C685" s="81" t="s">
        <v>2954</v>
      </c>
      <c r="D685" s="81" t="s">
        <v>2955</v>
      </c>
      <c r="E685" s="82" t="s">
        <v>2956</v>
      </c>
      <c r="F685" s="81" t="s">
        <v>2957</v>
      </c>
      <c r="G685" s="81" t="s">
        <v>100</v>
      </c>
      <c r="H685" s="81"/>
    </row>
    <row r="686" customFormat="false" ht="15" hidden="false" customHeight="false" outlineLevel="0" collapsed="false">
      <c r="A686" s="81" t="n">
        <v>685</v>
      </c>
      <c r="B686" s="81" t="s">
        <v>7</v>
      </c>
      <c r="C686" s="81" t="s">
        <v>2958</v>
      </c>
      <c r="D686" s="81" t="s">
        <v>2959</v>
      </c>
      <c r="E686" s="82" t="s">
        <v>2960</v>
      </c>
      <c r="F686" s="81" t="s">
        <v>2961</v>
      </c>
      <c r="G686" s="81" t="s">
        <v>100</v>
      </c>
      <c r="H686" s="81" t="s">
        <v>2962</v>
      </c>
    </row>
    <row r="687" customFormat="false" ht="15" hidden="false" customHeight="false" outlineLevel="0" collapsed="false">
      <c r="A687" s="81" t="n">
        <v>686</v>
      </c>
      <c r="B687" s="81" t="s">
        <v>7</v>
      </c>
      <c r="C687" s="81" t="s">
        <v>2963</v>
      </c>
      <c r="D687" s="81" t="s">
        <v>2964</v>
      </c>
      <c r="E687" s="82" t="s">
        <v>2965</v>
      </c>
      <c r="F687" s="81" t="s">
        <v>2966</v>
      </c>
      <c r="G687" s="81" t="s">
        <v>100</v>
      </c>
      <c r="H687" s="81"/>
    </row>
    <row r="688" customFormat="false" ht="15" hidden="false" customHeight="false" outlineLevel="0" collapsed="false">
      <c r="A688" s="81" t="n">
        <v>687</v>
      </c>
      <c r="B688" s="81" t="s">
        <v>7</v>
      </c>
      <c r="C688" s="81" t="s">
        <v>2967</v>
      </c>
      <c r="D688" s="81" t="s">
        <v>2968</v>
      </c>
      <c r="E688" s="82" t="s">
        <v>2969</v>
      </c>
      <c r="F688" s="81" t="s">
        <v>2970</v>
      </c>
      <c r="G688" s="81" t="s">
        <v>100</v>
      </c>
      <c r="H688" s="81" t="s">
        <v>2971</v>
      </c>
    </row>
    <row r="689" customFormat="false" ht="15" hidden="false" customHeight="false" outlineLevel="0" collapsed="false">
      <c r="A689" s="81" t="n">
        <v>688</v>
      </c>
      <c r="B689" s="81" t="s">
        <v>7</v>
      </c>
      <c r="C689" s="81" t="s">
        <v>2972</v>
      </c>
      <c r="D689" s="81" t="s">
        <v>2973</v>
      </c>
      <c r="E689" s="82" t="s">
        <v>2974</v>
      </c>
      <c r="F689" s="81" t="s">
        <v>2975</v>
      </c>
      <c r="G689" s="81" t="s">
        <v>100</v>
      </c>
      <c r="H689" s="81" t="s">
        <v>2976</v>
      </c>
    </row>
    <row r="690" customFormat="false" ht="15" hidden="false" customHeight="false" outlineLevel="0" collapsed="false">
      <c r="A690" s="81" t="n">
        <v>689</v>
      </c>
      <c r="B690" s="81" t="s">
        <v>7</v>
      </c>
      <c r="C690" s="81" t="s">
        <v>2977</v>
      </c>
      <c r="D690" s="81" t="s">
        <v>2978</v>
      </c>
      <c r="E690" s="82" t="s">
        <v>2979</v>
      </c>
      <c r="F690" s="81" t="s">
        <v>2980</v>
      </c>
      <c r="G690" s="81" t="s">
        <v>100</v>
      </c>
      <c r="H690" s="81" t="s">
        <v>2981</v>
      </c>
    </row>
    <row r="691" customFormat="false" ht="15" hidden="false" customHeight="false" outlineLevel="0" collapsed="false">
      <c r="A691" s="81" t="n">
        <v>690</v>
      </c>
      <c r="B691" s="81" t="s">
        <v>7</v>
      </c>
      <c r="C691" s="81" t="s">
        <v>2982</v>
      </c>
      <c r="D691" s="81" t="s">
        <v>2983</v>
      </c>
      <c r="E691" s="82" t="s">
        <v>2984</v>
      </c>
      <c r="F691" s="81" t="s">
        <v>2985</v>
      </c>
      <c r="G691" s="81" t="s">
        <v>100</v>
      </c>
      <c r="H691" s="81" t="s">
        <v>2986</v>
      </c>
    </row>
    <row r="692" customFormat="false" ht="15" hidden="false" customHeight="false" outlineLevel="0" collapsed="false">
      <c r="A692" s="81" t="n">
        <v>691</v>
      </c>
      <c r="B692" s="81" t="s">
        <v>7</v>
      </c>
      <c r="C692" s="81" t="s">
        <v>2987</v>
      </c>
      <c r="D692" s="81" t="s">
        <v>2988</v>
      </c>
      <c r="E692" s="82" t="s">
        <v>2989</v>
      </c>
      <c r="F692" s="81" t="s">
        <v>2990</v>
      </c>
      <c r="G692" s="81" t="s">
        <v>100</v>
      </c>
      <c r="H692" s="81" t="s">
        <v>2991</v>
      </c>
    </row>
    <row r="693" customFormat="false" ht="15" hidden="false" customHeight="false" outlineLevel="0" collapsed="false">
      <c r="A693" s="81" t="n">
        <v>692</v>
      </c>
      <c r="B693" s="81" t="s">
        <v>7</v>
      </c>
      <c r="C693" s="81" t="s">
        <v>2992</v>
      </c>
      <c r="D693" s="81" t="s">
        <v>2993</v>
      </c>
      <c r="E693" s="82" t="s">
        <v>2994</v>
      </c>
      <c r="F693" s="81" t="s">
        <v>2995</v>
      </c>
      <c r="G693" s="81" t="s">
        <v>100</v>
      </c>
      <c r="H693" s="81" t="s">
        <v>2996</v>
      </c>
    </row>
    <row r="694" customFormat="false" ht="15" hidden="false" customHeight="false" outlineLevel="0" collapsed="false">
      <c r="A694" s="81" t="n">
        <v>693</v>
      </c>
      <c r="B694" s="81" t="s">
        <v>7</v>
      </c>
      <c r="C694" s="81" t="s">
        <v>2997</v>
      </c>
      <c r="D694" s="81" t="s">
        <v>2998</v>
      </c>
      <c r="E694" s="82" t="s">
        <v>2999</v>
      </c>
      <c r="F694" s="81" t="s">
        <v>3000</v>
      </c>
      <c r="G694" s="81" t="s">
        <v>100</v>
      </c>
      <c r="H694" s="81"/>
    </row>
    <row r="695" customFormat="false" ht="15" hidden="false" customHeight="false" outlineLevel="0" collapsed="false">
      <c r="A695" s="81" t="n">
        <v>694</v>
      </c>
      <c r="B695" s="81" t="s">
        <v>7</v>
      </c>
      <c r="C695" s="81" t="s">
        <v>3001</v>
      </c>
      <c r="D695" s="81" t="s">
        <v>3002</v>
      </c>
      <c r="E695" s="82" t="s">
        <v>3003</v>
      </c>
      <c r="F695" s="81" t="s">
        <v>3004</v>
      </c>
      <c r="G695" s="81" t="s">
        <v>100</v>
      </c>
      <c r="H695" s="81" t="s">
        <v>3005</v>
      </c>
    </row>
    <row r="696" customFormat="false" ht="15" hidden="false" customHeight="false" outlineLevel="0" collapsed="false">
      <c r="A696" s="81" t="n">
        <v>695</v>
      </c>
      <c r="B696" s="81" t="s">
        <v>7</v>
      </c>
      <c r="C696" s="81" t="s">
        <v>3006</v>
      </c>
      <c r="D696" s="81" t="s">
        <v>3007</v>
      </c>
      <c r="E696" s="82" t="s">
        <v>3008</v>
      </c>
      <c r="F696" s="81" t="s">
        <v>3009</v>
      </c>
      <c r="G696" s="81" t="s">
        <v>100</v>
      </c>
      <c r="H696" s="81" t="s">
        <v>3010</v>
      </c>
    </row>
    <row r="697" customFormat="false" ht="15" hidden="false" customHeight="false" outlineLevel="0" collapsed="false">
      <c r="A697" s="81" t="n">
        <v>696</v>
      </c>
      <c r="B697" s="81" t="s">
        <v>7</v>
      </c>
      <c r="C697" s="81" t="s">
        <v>3011</v>
      </c>
      <c r="D697" s="81" t="s">
        <v>3012</v>
      </c>
      <c r="E697" s="82" t="s">
        <v>3013</v>
      </c>
      <c r="F697" s="81" t="s">
        <v>3014</v>
      </c>
      <c r="G697" s="81" t="s">
        <v>100</v>
      </c>
      <c r="H697" s="81" t="s">
        <v>3015</v>
      </c>
    </row>
    <row r="698" customFormat="false" ht="15" hidden="false" customHeight="false" outlineLevel="0" collapsed="false">
      <c r="A698" s="81" t="n">
        <v>697</v>
      </c>
      <c r="B698" s="81" t="s">
        <v>7</v>
      </c>
      <c r="C698" s="81" t="s">
        <v>3016</v>
      </c>
      <c r="D698" s="81" t="s">
        <v>3017</v>
      </c>
      <c r="E698" s="82" t="s">
        <v>3018</v>
      </c>
      <c r="F698" s="81" t="s">
        <v>3019</v>
      </c>
      <c r="G698" s="81" t="s">
        <v>100</v>
      </c>
      <c r="H698" s="81"/>
    </row>
    <row r="699" customFormat="false" ht="15" hidden="false" customHeight="false" outlineLevel="0" collapsed="false">
      <c r="A699" s="81" t="n">
        <v>698</v>
      </c>
      <c r="B699" s="81" t="s">
        <v>7</v>
      </c>
      <c r="C699" s="81" t="s">
        <v>3020</v>
      </c>
      <c r="D699" s="81" t="s">
        <v>3021</v>
      </c>
      <c r="E699" s="82" t="s">
        <v>3022</v>
      </c>
      <c r="F699" s="81" t="s">
        <v>3023</v>
      </c>
      <c r="G699" s="81" t="s">
        <v>100</v>
      </c>
      <c r="H699" s="81"/>
    </row>
    <row r="700" customFormat="false" ht="15" hidden="false" customHeight="false" outlineLevel="0" collapsed="false">
      <c r="A700" s="81" t="n">
        <v>699</v>
      </c>
      <c r="B700" s="81" t="s">
        <v>7</v>
      </c>
      <c r="C700" s="81" t="s">
        <v>3024</v>
      </c>
      <c r="D700" s="81" t="s">
        <v>3025</v>
      </c>
      <c r="E700" s="82" t="s">
        <v>3026</v>
      </c>
      <c r="F700" s="81" t="s">
        <v>3027</v>
      </c>
      <c r="G700" s="81" t="s">
        <v>100</v>
      </c>
      <c r="H700" s="81" t="s">
        <v>3028</v>
      </c>
    </row>
    <row r="701" customFormat="false" ht="15" hidden="false" customHeight="false" outlineLevel="0" collapsed="false">
      <c r="A701" s="81" t="n">
        <v>700</v>
      </c>
      <c r="B701" s="81" t="s">
        <v>7</v>
      </c>
      <c r="C701" s="81" t="s">
        <v>3029</v>
      </c>
      <c r="D701" s="81" t="s">
        <v>3030</v>
      </c>
      <c r="E701" s="82" t="s">
        <v>3031</v>
      </c>
      <c r="F701" s="81" t="s">
        <v>3032</v>
      </c>
      <c r="G701" s="81" t="s">
        <v>102</v>
      </c>
      <c r="H701" s="81" t="s">
        <v>3033</v>
      </c>
    </row>
    <row r="702" customFormat="false" ht="15" hidden="false" customHeight="false" outlineLevel="0" collapsed="false">
      <c r="A702" s="81" t="n">
        <v>701</v>
      </c>
      <c r="B702" s="81" t="s">
        <v>7</v>
      </c>
      <c r="C702" s="81" t="s">
        <v>3034</v>
      </c>
      <c r="D702" s="81" t="s">
        <v>3035</v>
      </c>
      <c r="E702" s="82" t="s">
        <v>3036</v>
      </c>
      <c r="F702" s="81" t="s">
        <v>3037</v>
      </c>
      <c r="G702" s="81" t="s">
        <v>102</v>
      </c>
      <c r="H702" s="81" t="s">
        <v>3038</v>
      </c>
    </row>
    <row r="703" customFormat="false" ht="15" hidden="false" customHeight="false" outlineLevel="0" collapsed="false">
      <c r="A703" s="81" t="n">
        <v>702</v>
      </c>
      <c r="B703" s="81" t="s">
        <v>7</v>
      </c>
      <c r="C703" s="81" t="s">
        <v>3039</v>
      </c>
      <c r="D703" s="81" t="s">
        <v>3040</v>
      </c>
      <c r="E703" s="82" t="s">
        <v>3041</v>
      </c>
      <c r="F703" s="81" t="s">
        <v>3042</v>
      </c>
      <c r="G703" s="81" t="s">
        <v>102</v>
      </c>
      <c r="H703" s="81" t="s">
        <v>3043</v>
      </c>
    </row>
    <row r="704" customFormat="false" ht="15" hidden="false" customHeight="false" outlineLevel="0" collapsed="false">
      <c r="A704" s="81" t="n">
        <v>703</v>
      </c>
      <c r="B704" s="81" t="s">
        <v>7</v>
      </c>
      <c r="C704" s="81" t="s">
        <v>3044</v>
      </c>
      <c r="D704" s="81" t="s">
        <v>3045</v>
      </c>
      <c r="E704" s="82" t="s">
        <v>3046</v>
      </c>
      <c r="F704" s="81" t="s">
        <v>3047</v>
      </c>
      <c r="G704" s="81" t="s">
        <v>102</v>
      </c>
      <c r="H704" s="81" t="s">
        <v>3048</v>
      </c>
    </row>
    <row r="705" customFormat="false" ht="15" hidden="false" customHeight="false" outlineLevel="0" collapsed="false">
      <c r="A705" s="81" t="n">
        <v>704</v>
      </c>
      <c r="B705" s="81" t="s">
        <v>7</v>
      </c>
      <c r="C705" s="81" t="s">
        <v>3049</v>
      </c>
      <c r="D705" s="81" t="s">
        <v>3050</v>
      </c>
      <c r="E705" s="82" t="s">
        <v>3051</v>
      </c>
      <c r="F705" s="81" t="s">
        <v>3052</v>
      </c>
      <c r="G705" s="81" t="s">
        <v>102</v>
      </c>
      <c r="H705" s="81" t="s">
        <v>845</v>
      </c>
    </row>
    <row r="706" customFormat="false" ht="15" hidden="false" customHeight="false" outlineLevel="0" collapsed="false">
      <c r="A706" s="81" t="n">
        <v>705</v>
      </c>
      <c r="B706" s="81" t="s">
        <v>7</v>
      </c>
      <c r="C706" s="81" t="s">
        <v>3053</v>
      </c>
      <c r="D706" s="81" t="s">
        <v>3054</v>
      </c>
      <c r="E706" s="82" t="s">
        <v>3055</v>
      </c>
      <c r="F706" s="81" t="s">
        <v>3056</v>
      </c>
      <c r="G706" s="81" t="s">
        <v>102</v>
      </c>
      <c r="H706" s="81" t="s">
        <v>3057</v>
      </c>
    </row>
    <row r="707" customFormat="false" ht="15" hidden="false" customHeight="false" outlineLevel="0" collapsed="false">
      <c r="A707" s="81" t="n">
        <v>706</v>
      </c>
      <c r="B707" s="81" t="s">
        <v>7</v>
      </c>
      <c r="C707" s="81" t="s">
        <v>3058</v>
      </c>
      <c r="D707" s="81" t="s">
        <v>3059</v>
      </c>
      <c r="E707" s="82" t="s">
        <v>3060</v>
      </c>
      <c r="F707" s="81" t="s">
        <v>3061</v>
      </c>
      <c r="G707" s="81" t="s">
        <v>102</v>
      </c>
      <c r="H707" s="81"/>
    </row>
    <row r="708" customFormat="false" ht="15" hidden="false" customHeight="false" outlineLevel="0" collapsed="false">
      <c r="A708" s="81" t="n">
        <v>707</v>
      </c>
      <c r="B708" s="81" t="s">
        <v>7</v>
      </c>
      <c r="C708" s="81" t="s">
        <v>3062</v>
      </c>
      <c r="D708" s="81" t="s">
        <v>3063</v>
      </c>
      <c r="E708" s="82" t="s">
        <v>3064</v>
      </c>
      <c r="F708" s="81" t="s">
        <v>3065</v>
      </c>
      <c r="G708" s="81" t="s">
        <v>102</v>
      </c>
      <c r="H708" s="81" t="s">
        <v>3066</v>
      </c>
    </row>
    <row r="709" customFormat="false" ht="15" hidden="false" customHeight="false" outlineLevel="0" collapsed="false">
      <c r="A709" s="81" t="n">
        <v>708</v>
      </c>
      <c r="B709" s="81" t="s">
        <v>7</v>
      </c>
      <c r="C709" s="81" t="s">
        <v>3067</v>
      </c>
      <c r="D709" s="81" t="s">
        <v>3068</v>
      </c>
      <c r="E709" s="82" t="s">
        <v>3069</v>
      </c>
      <c r="F709" s="81" t="s">
        <v>3070</v>
      </c>
      <c r="G709" s="81" t="s">
        <v>102</v>
      </c>
      <c r="H709" s="81" t="s">
        <v>3071</v>
      </c>
    </row>
    <row r="710" customFormat="false" ht="15" hidden="false" customHeight="false" outlineLevel="0" collapsed="false">
      <c r="A710" s="81" t="n">
        <v>709</v>
      </c>
      <c r="B710" s="81" t="s">
        <v>7</v>
      </c>
      <c r="C710" s="81" t="s">
        <v>3072</v>
      </c>
      <c r="D710" s="81" t="s">
        <v>3073</v>
      </c>
      <c r="E710" s="82" t="s">
        <v>3074</v>
      </c>
      <c r="F710" s="81" t="s">
        <v>3075</v>
      </c>
      <c r="G710" s="81" t="s">
        <v>102</v>
      </c>
      <c r="H710" s="81" t="s">
        <v>3076</v>
      </c>
    </row>
    <row r="711" customFormat="false" ht="15" hidden="false" customHeight="false" outlineLevel="0" collapsed="false">
      <c r="A711" s="81" t="n">
        <v>710</v>
      </c>
      <c r="B711" s="81" t="s">
        <v>7</v>
      </c>
      <c r="C711" s="81" t="s">
        <v>3077</v>
      </c>
      <c r="D711" s="81" t="s">
        <v>3078</v>
      </c>
      <c r="E711" s="82" t="s">
        <v>3079</v>
      </c>
      <c r="F711" s="81" t="s">
        <v>3080</v>
      </c>
      <c r="G711" s="81" t="s">
        <v>102</v>
      </c>
      <c r="H711" s="81" t="s">
        <v>3081</v>
      </c>
    </row>
    <row r="712" customFormat="false" ht="15" hidden="false" customHeight="false" outlineLevel="0" collapsed="false">
      <c r="A712" s="81" t="n">
        <v>711</v>
      </c>
      <c r="B712" s="81" t="s">
        <v>7</v>
      </c>
      <c r="C712" s="81" t="s">
        <v>3082</v>
      </c>
      <c r="D712" s="81" t="s">
        <v>3083</v>
      </c>
      <c r="E712" s="82" t="s">
        <v>3084</v>
      </c>
      <c r="F712" s="81" t="s">
        <v>3085</v>
      </c>
      <c r="G712" s="81" t="s">
        <v>102</v>
      </c>
      <c r="H712" s="81" t="s">
        <v>845</v>
      </c>
    </row>
    <row r="713" customFormat="false" ht="15" hidden="false" customHeight="false" outlineLevel="0" collapsed="false">
      <c r="A713" s="81" t="n">
        <v>712</v>
      </c>
      <c r="B713" s="81" t="s">
        <v>7</v>
      </c>
      <c r="C713" s="81" t="s">
        <v>3086</v>
      </c>
      <c r="D713" s="81" t="s">
        <v>3087</v>
      </c>
      <c r="E713" s="82" t="s">
        <v>3088</v>
      </c>
      <c r="F713" s="81" t="s">
        <v>3089</v>
      </c>
      <c r="G713" s="81" t="s">
        <v>102</v>
      </c>
      <c r="H713" s="81" t="s">
        <v>3090</v>
      </c>
    </row>
    <row r="714" customFormat="false" ht="15" hidden="false" customHeight="false" outlineLevel="0" collapsed="false">
      <c r="A714" s="81" t="n">
        <v>713</v>
      </c>
      <c r="B714" s="81" t="s">
        <v>7</v>
      </c>
      <c r="C714" s="81" t="s">
        <v>3091</v>
      </c>
      <c r="D714" s="81" t="s">
        <v>3092</v>
      </c>
      <c r="E714" s="82" t="s">
        <v>3093</v>
      </c>
      <c r="F714" s="81" t="s">
        <v>3094</v>
      </c>
      <c r="G714" s="81" t="s">
        <v>102</v>
      </c>
      <c r="H714" s="81" t="s">
        <v>3095</v>
      </c>
    </row>
    <row r="715" customFormat="false" ht="15" hidden="false" customHeight="false" outlineLevel="0" collapsed="false">
      <c r="A715" s="81" t="n">
        <v>714</v>
      </c>
      <c r="B715" s="81" t="s">
        <v>7</v>
      </c>
      <c r="C715" s="81" t="s">
        <v>3096</v>
      </c>
      <c r="D715" s="81" t="s">
        <v>3097</v>
      </c>
      <c r="E715" s="82" t="s">
        <v>3098</v>
      </c>
      <c r="F715" s="81" t="s">
        <v>3099</v>
      </c>
      <c r="G715" s="81" t="s">
        <v>102</v>
      </c>
      <c r="H715" s="81" t="s">
        <v>3100</v>
      </c>
    </row>
    <row r="716" customFormat="false" ht="15" hidden="false" customHeight="false" outlineLevel="0" collapsed="false">
      <c r="A716" s="81" t="n">
        <v>715</v>
      </c>
      <c r="B716" s="81" t="s">
        <v>7</v>
      </c>
      <c r="C716" s="81" t="s">
        <v>3101</v>
      </c>
      <c r="D716" s="81" t="s">
        <v>3102</v>
      </c>
      <c r="E716" s="82" t="s">
        <v>3103</v>
      </c>
      <c r="F716" s="81" t="s">
        <v>3104</v>
      </c>
      <c r="G716" s="81" t="s">
        <v>102</v>
      </c>
      <c r="H716" s="81"/>
    </row>
    <row r="717" customFormat="false" ht="15" hidden="false" customHeight="false" outlineLevel="0" collapsed="false">
      <c r="A717" s="81" t="n">
        <v>716</v>
      </c>
      <c r="B717" s="81" t="s">
        <v>7</v>
      </c>
      <c r="C717" s="81" t="s">
        <v>3105</v>
      </c>
      <c r="D717" s="81" t="s">
        <v>3106</v>
      </c>
      <c r="E717" s="82" t="s">
        <v>3107</v>
      </c>
      <c r="F717" s="81" t="s">
        <v>3108</v>
      </c>
      <c r="G717" s="81" t="s">
        <v>102</v>
      </c>
      <c r="H717" s="81" t="s">
        <v>3109</v>
      </c>
    </row>
    <row r="718" customFormat="false" ht="15" hidden="false" customHeight="false" outlineLevel="0" collapsed="false">
      <c r="A718" s="81" t="n">
        <v>717</v>
      </c>
      <c r="B718" s="81" t="s">
        <v>7</v>
      </c>
      <c r="C718" s="81" t="s">
        <v>3110</v>
      </c>
      <c r="D718" s="81" t="s">
        <v>3111</v>
      </c>
      <c r="E718" s="82" t="s">
        <v>3112</v>
      </c>
      <c r="F718" s="81" t="s">
        <v>3113</v>
      </c>
      <c r="G718" s="81" t="s">
        <v>102</v>
      </c>
      <c r="H718" s="81" t="s">
        <v>3114</v>
      </c>
    </row>
    <row r="719" customFormat="false" ht="15" hidden="false" customHeight="false" outlineLevel="0" collapsed="false">
      <c r="A719" s="81" t="n">
        <v>718</v>
      </c>
      <c r="B719" s="81" t="s">
        <v>7</v>
      </c>
      <c r="C719" s="81" t="s">
        <v>3115</v>
      </c>
      <c r="D719" s="81" t="s">
        <v>3116</v>
      </c>
      <c r="E719" s="82" t="s">
        <v>3117</v>
      </c>
      <c r="F719" s="81" t="s">
        <v>3118</v>
      </c>
      <c r="G719" s="81" t="s">
        <v>102</v>
      </c>
      <c r="H719" s="81" t="s">
        <v>3119</v>
      </c>
    </row>
    <row r="720" customFormat="false" ht="15" hidden="false" customHeight="false" outlineLevel="0" collapsed="false">
      <c r="A720" s="81" t="n">
        <v>719</v>
      </c>
      <c r="B720" s="81" t="s">
        <v>7</v>
      </c>
      <c r="C720" s="81" t="s">
        <v>3120</v>
      </c>
      <c r="D720" s="81" t="s">
        <v>3121</v>
      </c>
      <c r="E720" s="82" t="s">
        <v>3122</v>
      </c>
      <c r="F720" s="81" t="s">
        <v>3123</v>
      </c>
      <c r="G720" s="81" t="s">
        <v>102</v>
      </c>
      <c r="H720" s="81" t="s">
        <v>3124</v>
      </c>
    </row>
    <row r="721" customFormat="false" ht="15" hidden="false" customHeight="false" outlineLevel="0" collapsed="false">
      <c r="A721" s="81" t="n">
        <v>720</v>
      </c>
      <c r="B721" s="81" t="s">
        <v>7</v>
      </c>
      <c r="C721" s="81" t="s">
        <v>3125</v>
      </c>
      <c r="D721" s="81" t="s">
        <v>3126</v>
      </c>
      <c r="E721" s="82" t="s">
        <v>3127</v>
      </c>
      <c r="F721" s="81" t="s">
        <v>3128</v>
      </c>
      <c r="G721" s="81" t="s">
        <v>102</v>
      </c>
      <c r="H721" s="81" t="s">
        <v>845</v>
      </c>
    </row>
    <row r="722" customFormat="false" ht="15" hidden="false" customHeight="false" outlineLevel="0" collapsed="false">
      <c r="A722" s="81" t="n">
        <v>721</v>
      </c>
      <c r="B722" s="81" t="s">
        <v>7</v>
      </c>
      <c r="C722" s="81" t="s">
        <v>3129</v>
      </c>
      <c r="D722" s="81" t="s">
        <v>3130</v>
      </c>
      <c r="E722" s="82" t="s">
        <v>3131</v>
      </c>
      <c r="F722" s="81" t="s">
        <v>3132</v>
      </c>
      <c r="G722" s="81" t="s">
        <v>104</v>
      </c>
      <c r="H722" s="81" t="s">
        <v>3133</v>
      </c>
    </row>
    <row r="723" customFormat="false" ht="15" hidden="false" customHeight="false" outlineLevel="0" collapsed="false">
      <c r="A723" s="81" t="n">
        <v>722</v>
      </c>
      <c r="B723" s="81" t="s">
        <v>7</v>
      </c>
      <c r="C723" s="81" t="s">
        <v>3134</v>
      </c>
      <c r="D723" s="81" t="s">
        <v>3135</v>
      </c>
      <c r="E723" s="82" t="s">
        <v>3136</v>
      </c>
      <c r="F723" s="81" t="s">
        <v>3137</v>
      </c>
      <c r="G723" s="81" t="s">
        <v>104</v>
      </c>
      <c r="H723" s="81" t="s">
        <v>3138</v>
      </c>
    </row>
    <row r="724" customFormat="false" ht="15" hidden="false" customHeight="false" outlineLevel="0" collapsed="false">
      <c r="A724" s="81" t="n">
        <v>723</v>
      </c>
      <c r="B724" s="81" t="s">
        <v>7</v>
      </c>
      <c r="C724" s="81" t="s">
        <v>3139</v>
      </c>
      <c r="D724" s="81" t="s">
        <v>3140</v>
      </c>
      <c r="E724" s="82" t="s">
        <v>3141</v>
      </c>
      <c r="F724" s="81" t="s">
        <v>3142</v>
      </c>
      <c r="G724" s="81" t="s">
        <v>104</v>
      </c>
      <c r="H724" s="81" t="s">
        <v>3143</v>
      </c>
    </row>
    <row r="725" customFormat="false" ht="15" hidden="false" customHeight="false" outlineLevel="0" collapsed="false">
      <c r="A725" s="81" t="n">
        <v>724</v>
      </c>
      <c r="B725" s="81" t="s">
        <v>7</v>
      </c>
      <c r="C725" s="81" t="s">
        <v>3144</v>
      </c>
      <c r="D725" s="81" t="s">
        <v>3145</v>
      </c>
      <c r="E725" s="82" t="s">
        <v>3146</v>
      </c>
      <c r="F725" s="81" t="s">
        <v>3147</v>
      </c>
      <c r="G725" s="81" t="s">
        <v>104</v>
      </c>
      <c r="H725" s="81" t="s">
        <v>3148</v>
      </c>
    </row>
    <row r="726" customFormat="false" ht="15" hidden="false" customHeight="false" outlineLevel="0" collapsed="false">
      <c r="A726" s="81" t="n">
        <v>725</v>
      </c>
      <c r="B726" s="81" t="s">
        <v>7</v>
      </c>
      <c r="C726" s="81" t="s">
        <v>3149</v>
      </c>
      <c r="D726" s="81" t="s">
        <v>3150</v>
      </c>
      <c r="E726" s="82" t="s">
        <v>3151</v>
      </c>
      <c r="F726" s="81" t="s">
        <v>3152</v>
      </c>
      <c r="G726" s="81" t="s">
        <v>104</v>
      </c>
      <c r="H726" s="81" t="s">
        <v>3153</v>
      </c>
    </row>
    <row r="727" customFormat="false" ht="15" hidden="false" customHeight="false" outlineLevel="0" collapsed="false">
      <c r="A727" s="81" t="n">
        <v>726</v>
      </c>
      <c r="B727" s="81" t="s">
        <v>7</v>
      </c>
      <c r="C727" s="81" t="s">
        <v>3154</v>
      </c>
      <c r="D727" s="81" t="s">
        <v>3155</v>
      </c>
      <c r="E727" s="82" t="s">
        <v>3156</v>
      </c>
      <c r="F727" s="81" t="s">
        <v>3157</v>
      </c>
      <c r="G727" s="81" t="s">
        <v>104</v>
      </c>
      <c r="H727" s="81" t="s">
        <v>3158</v>
      </c>
    </row>
    <row r="728" customFormat="false" ht="15" hidden="false" customHeight="false" outlineLevel="0" collapsed="false">
      <c r="A728" s="81" t="n">
        <v>727</v>
      </c>
      <c r="B728" s="81" t="s">
        <v>7</v>
      </c>
      <c r="C728" s="81" t="s">
        <v>3159</v>
      </c>
      <c r="D728" s="81" t="s">
        <v>3160</v>
      </c>
      <c r="E728" s="82" t="s">
        <v>3161</v>
      </c>
      <c r="F728" s="81" t="s">
        <v>3162</v>
      </c>
      <c r="G728" s="81" t="s">
        <v>104</v>
      </c>
      <c r="H728" s="81" t="s">
        <v>3163</v>
      </c>
    </row>
    <row r="729" customFormat="false" ht="15" hidden="false" customHeight="false" outlineLevel="0" collapsed="false">
      <c r="A729" s="81" t="n">
        <v>728</v>
      </c>
      <c r="B729" s="81" t="s">
        <v>7</v>
      </c>
      <c r="C729" s="81" t="s">
        <v>3164</v>
      </c>
      <c r="D729" s="81" t="s">
        <v>3165</v>
      </c>
      <c r="E729" s="82" t="s">
        <v>3166</v>
      </c>
      <c r="F729" s="81" t="s">
        <v>3167</v>
      </c>
      <c r="G729" s="81" t="s">
        <v>104</v>
      </c>
      <c r="H729" s="81"/>
    </row>
    <row r="730" customFormat="false" ht="15" hidden="false" customHeight="false" outlineLevel="0" collapsed="false">
      <c r="A730" s="81" t="n">
        <v>729</v>
      </c>
      <c r="B730" s="81" t="s">
        <v>7</v>
      </c>
      <c r="C730" s="81" t="s">
        <v>3168</v>
      </c>
      <c r="D730" s="81" t="s">
        <v>3169</v>
      </c>
      <c r="E730" s="82" t="s">
        <v>3170</v>
      </c>
      <c r="F730" s="81" t="s">
        <v>3171</v>
      </c>
      <c r="G730" s="81" t="s">
        <v>104</v>
      </c>
      <c r="H730" s="81" t="s">
        <v>3172</v>
      </c>
    </row>
    <row r="731" customFormat="false" ht="15" hidden="false" customHeight="false" outlineLevel="0" collapsed="false">
      <c r="A731" s="81" t="n">
        <v>730</v>
      </c>
      <c r="B731" s="81" t="s">
        <v>7</v>
      </c>
      <c r="C731" s="81" t="s">
        <v>3173</v>
      </c>
      <c r="D731" s="81" t="s">
        <v>3174</v>
      </c>
      <c r="E731" s="82" t="s">
        <v>3175</v>
      </c>
      <c r="F731" s="81" t="s">
        <v>3176</v>
      </c>
      <c r="G731" s="81" t="s">
        <v>104</v>
      </c>
      <c r="H731" s="81" t="s">
        <v>3177</v>
      </c>
    </row>
    <row r="732" customFormat="false" ht="15" hidden="false" customHeight="false" outlineLevel="0" collapsed="false">
      <c r="A732" s="81" t="n">
        <v>731</v>
      </c>
      <c r="B732" s="81" t="s">
        <v>7</v>
      </c>
      <c r="C732" s="81" t="s">
        <v>3178</v>
      </c>
      <c r="D732" s="81" t="s">
        <v>3179</v>
      </c>
      <c r="E732" s="82" t="s">
        <v>3180</v>
      </c>
      <c r="F732" s="81" t="s">
        <v>3181</v>
      </c>
      <c r="G732" s="81" t="s">
        <v>104</v>
      </c>
      <c r="H732" s="81" t="s">
        <v>3182</v>
      </c>
    </row>
    <row r="733" customFormat="false" ht="15" hidden="false" customHeight="false" outlineLevel="0" collapsed="false">
      <c r="A733" s="81" t="n">
        <v>732</v>
      </c>
      <c r="B733" s="81" t="s">
        <v>7</v>
      </c>
      <c r="C733" s="81" t="s">
        <v>3183</v>
      </c>
      <c r="D733" s="81" t="s">
        <v>3184</v>
      </c>
      <c r="E733" s="82" t="s">
        <v>3185</v>
      </c>
      <c r="F733" s="81" t="s">
        <v>3186</v>
      </c>
      <c r="G733" s="81" t="s">
        <v>104</v>
      </c>
      <c r="H733" s="81" t="s">
        <v>3187</v>
      </c>
    </row>
    <row r="734" customFormat="false" ht="15" hidden="false" customHeight="false" outlineLevel="0" collapsed="false">
      <c r="A734" s="81" t="n">
        <v>733</v>
      </c>
      <c r="B734" s="81" t="s">
        <v>7</v>
      </c>
      <c r="C734" s="81" t="s">
        <v>3188</v>
      </c>
      <c r="D734" s="81" t="s">
        <v>3189</v>
      </c>
      <c r="E734" s="82" t="s">
        <v>3190</v>
      </c>
      <c r="F734" s="81" t="s">
        <v>3191</v>
      </c>
      <c r="G734" s="81" t="s">
        <v>104</v>
      </c>
      <c r="H734" s="81" t="s">
        <v>3192</v>
      </c>
    </row>
    <row r="735" customFormat="false" ht="15" hidden="false" customHeight="false" outlineLevel="0" collapsed="false">
      <c r="A735" s="81" t="n">
        <v>734</v>
      </c>
      <c r="B735" s="81" t="s">
        <v>7</v>
      </c>
      <c r="C735" s="81" t="s">
        <v>3193</v>
      </c>
      <c r="D735" s="81" t="s">
        <v>3194</v>
      </c>
      <c r="E735" s="82" t="s">
        <v>3195</v>
      </c>
      <c r="F735" s="81" t="s">
        <v>3196</v>
      </c>
      <c r="G735" s="81" t="s">
        <v>104</v>
      </c>
      <c r="H735" s="81" t="s">
        <v>3197</v>
      </c>
    </row>
    <row r="736" customFormat="false" ht="15" hidden="false" customHeight="false" outlineLevel="0" collapsed="false">
      <c r="A736" s="81" t="n">
        <v>735</v>
      </c>
      <c r="B736" s="81" t="s">
        <v>7</v>
      </c>
      <c r="C736" s="81" t="s">
        <v>2246</v>
      </c>
      <c r="D736" s="81" t="s">
        <v>2247</v>
      </c>
      <c r="E736" s="82" t="s">
        <v>2248</v>
      </c>
      <c r="F736" s="81" t="s">
        <v>2249</v>
      </c>
      <c r="G736" s="81" t="s">
        <v>104</v>
      </c>
      <c r="H736" s="81" t="s">
        <v>3198</v>
      </c>
    </row>
    <row r="737" customFormat="false" ht="15" hidden="false" customHeight="false" outlineLevel="0" collapsed="false">
      <c r="A737" s="81" t="n">
        <v>736</v>
      </c>
      <c r="B737" s="81" t="s">
        <v>7</v>
      </c>
      <c r="C737" s="81" t="s">
        <v>3199</v>
      </c>
      <c r="D737" s="81" t="s">
        <v>3200</v>
      </c>
      <c r="E737" s="82" t="s">
        <v>3201</v>
      </c>
      <c r="F737" s="81" t="s">
        <v>3202</v>
      </c>
      <c r="G737" s="81" t="s">
        <v>104</v>
      </c>
      <c r="H737" s="81" t="s">
        <v>3203</v>
      </c>
    </row>
    <row r="738" customFormat="false" ht="15" hidden="false" customHeight="false" outlineLevel="0" collapsed="false">
      <c r="A738" s="81" t="n">
        <v>737</v>
      </c>
      <c r="B738" s="81" t="s">
        <v>7</v>
      </c>
      <c r="C738" s="81" t="s">
        <v>3204</v>
      </c>
      <c r="D738" s="81" t="s">
        <v>3205</v>
      </c>
      <c r="E738" s="82" t="s">
        <v>3206</v>
      </c>
      <c r="F738" s="81" t="s">
        <v>3207</v>
      </c>
      <c r="G738" s="81" t="s">
        <v>104</v>
      </c>
      <c r="H738" s="81" t="s">
        <v>3208</v>
      </c>
    </row>
    <row r="739" customFormat="false" ht="15" hidden="false" customHeight="false" outlineLevel="0" collapsed="false">
      <c r="A739" s="81" t="n">
        <v>738</v>
      </c>
      <c r="B739" s="81" t="s">
        <v>7</v>
      </c>
      <c r="C739" s="81" t="s">
        <v>3209</v>
      </c>
      <c r="D739" s="81" t="s">
        <v>3210</v>
      </c>
      <c r="E739" s="82" t="s">
        <v>3211</v>
      </c>
      <c r="F739" s="81" t="s">
        <v>3212</v>
      </c>
      <c r="G739" s="81" t="s">
        <v>104</v>
      </c>
      <c r="H739" s="81" t="s">
        <v>3213</v>
      </c>
    </row>
    <row r="740" customFormat="false" ht="15" hidden="false" customHeight="false" outlineLevel="0" collapsed="false">
      <c r="A740" s="81" t="n">
        <v>739</v>
      </c>
      <c r="B740" s="81" t="s">
        <v>7</v>
      </c>
      <c r="C740" s="81" t="s">
        <v>2282</v>
      </c>
      <c r="D740" s="81" t="s">
        <v>2283</v>
      </c>
      <c r="E740" s="82" t="s">
        <v>2284</v>
      </c>
      <c r="F740" s="81" t="s">
        <v>2285</v>
      </c>
      <c r="G740" s="81" t="s">
        <v>104</v>
      </c>
      <c r="H740" s="81" t="s">
        <v>845</v>
      </c>
    </row>
    <row r="741" customFormat="false" ht="15" hidden="false" customHeight="false" outlineLevel="0" collapsed="false">
      <c r="A741" s="81" t="n">
        <v>740</v>
      </c>
      <c r="B741" s="81" t="s">
        <v>7</v>
      </c>
      <c r="C741" s="81" t="s">
        <v>2270</v>
      </c>
      <c r="D741" s="81" t="s">
        <v>2271</v>
      </c>
      <c r="E741" s="82" t="s">
        <v>2272</v>
      </c>
      <c r="F741" s="81" t="s">
        <v>2273</v>
      </c>
      <c r="G741" s="81" t="s">
        <v>104</v>
      </c>
      <c r="H741" s="81" t="s">
        <v>845</v>
      </c>
    </row>
    <row r="742" customFormat="false" ht="15" hidden="false" customHeight="false" outlineLevel="0" collapsed="false">
      <c r="A742" s="81" t="n">
        <v>741</v>
      </c>
      <c r="B742" s="81" t="s">
        <v>7</v>
      </c>
      <c r="C742" s="81" t="s">
        <v>3214</v>
      </c>
      <c r="D742" s="81" t="s">
        <v>3215</v>
      </c>
      <c r="E742" s="82" t="s">
        <v>2268</v>
      </c>
      <c r="F742" s="81" t="s">
        <v>2269</v>
      </c>
      <c r="G742" s="81" t="s">
        <v>104</v>
      </c>
      <c r="H742" s="81" t="s">
        <v>3216</v>
      </c>
    </row>
    <row r="743" customFormat="false" ht="15" hidden="false" customHeight="false" outlineLevel="0" collapsed="false">
      <c r="A743" s="81" t="n">
        <v>742</v>
      </c>
      <c r="B743" s="81" t="s">
        <v>7</v>
      </c>
      <c r="C743" s="81" t="s">
        <v>3217</v>
      </c>
      <c r="D743" s="81" t="s">
        <v>3218</v>
      </c>
      <c r="E743" s="82" t="s">
        <v>3219</v>
      </c>
      <c r="F743" s="81" t="s">
        <v>3220</v>
      </c>
      <c r="G743" s="81" t="s">
        <v>104</v>
      </c>
      <c r="H743" s="81"/>
    </row>
    <row r="744" customFormat="false" ht="15" hidden="false" customHeight="false" outlineLevel="0" collapsed="false">
      <c r="A744" s="81" t="n">
        <v>743</v>
      </c>
      <c r="B744" s="81" t="s">
        <v>7</v>
      </c>
      <c r="C744" s="81" t="s">
        <v>3221</v>
      </c>
      <c r="D744" s="81" t="s">
        <v>3222</v>
      </c>
      <c r="E744" s="82" t="s">
        <v>3223</v>
      </c>
      <c r="F744" s="81" t="s">
        <v>3224</v>
      </c>
      <c r="G744" s="81" t="s">
        <v>104</v>
      </c>
      <c r="H744" s="81" t="s">
        <v>3225</v>
      </c>
    </row>
    <row r="745" customFormat="false" ht="15" hidden="false" customHeight="false" outlineLevel="0" collapsed="false">
      <c r="A745" s="81" t="n">
        <v>744</v>
      </c>
      <c r="B745" s="81" t="s">
        <v>7</v>
      </c>
      <c r="C745" s="81" t="s">
        <v>1637</v>
      </c>
      <c r="D745" s="81" t="s">
        <v>1638</v>
      </c>
      <c r="E745" s="82" t="s">
        <v>1639</v>
      </c>
      <c r="F745" s="81" t="s">
        <v>1640</v>
      </c>
      <c r="G745" s="81" t="s">
        <v>106</v>
      </c>
      <c r="H745" s="81" t="s">
        <v>845</v>
      </c>
    </row>
    <row r="746" customFormat="false" ht="15" hidden="false" customHeight="false" outlineLevel="0" collapsed="false">
      <c r="A746" s="81" t="n">
        <v>745</v>
      </c>
      <c r="B746" s="81" t="s">
        <v>7</v>
      </c>
      <c r="C746" s="81" t="s">
        <v>3226</v>
      </c>
      <c r="D746" s="81" t="s">
        <v>3227</v>
      </c>
      <c r="E746" s="82" t="s">
        <v>3228</v>
      </c>
      <c r="F746" s="81" t="s">
        <v>3229</v>
      </c>
      <c r="G746" s="81" t="s">
        <v>106</v>
      </c>
      <c r="H746" s="81" t="s">
        <v>845</v>
      </c>
    </row>
    <row r="747" customFormat="false" ht="15" hidden="false" customHeight="false" outlineLevel="0" collapsed="false">
      <c r="A747" s="81" t="n">
        <v>746</v>
      </c>
      <c r="B747" s="81" t="s">
        <v>7</v>
      </c>
      <c r="C747" s="81" t="s">
        <v>3230</v>
      </c>
      <c r="D747" s="81" t="s">
        <v>3231</v>
      </c>
      <c r="E747" s="82" t="s">
        <v>3232</v>
      </c>
      <c r="F747" s="81" t="s">
        <v>3233</v>
      </c>
      <c r="G747" s="81" t="s">
        <v>106</v>
      </c>
      <c r="H747" s="81"/>
    </row>
    <row r="748" customFormat="false" ht="15" hidden="false" customHeight="false" outlineLevel="0" collapsed="false">
      <c r="A748" s="81" t="n">
        <v>747</v>
      </c>
      <c r="B748" s="81" t="s">
        <v>7</v>
      </c>
      <c r="C748" s="81" t="s">
        <v>3234</v>
      </c>
      <c r="D748" s="81" t="s">
        <v>3235</v>
      </c>
      <c r="E748" s="82" t="s">
        <v>3236</v>
      </c>
      <c r="F748" s="81" t="s">
        <v>3237</v>
      </c>
      <c r="G748" s="81" t="s">
        <v>106</v>
      </c>
      <c r="H748" s="81" t="s">
        <v>3238</v>
      </c>
    </row>
    <row r="749" customFormat="false" ht="15" hidden="false" customHeight="false" outlineLevel="0" collapsed="false">
      <c r="A749" s="81" t="n">
        <v>748</v>
      </c>
      <c r="B749" s="81" t="s">
        <v>7</v>
      </c>
      <c r="C749" s="81" t="s">
        <v>3239</v>
      </c>
      <c r="D749" s="81" t="s">
        <v>3240</v>
      </c>
      <c r="E749" s="82" t="s">
        <v>3241</v>
      </c>
      <c r="F749" s="81" t="s">
        <v>3242</v>
      </c>
      <c r="G749" s="81" t="s">
        <v>106</v>
      </c>
      <c r="H749" s="81" t="s">
        <v>3243</v>
      </c>
    </row>
    <row r="750" customFormat="false" ht="15" hidden="false" customHeight="false" outlineLevel="0" collapsed="false">
      <c r="A750" s="81" t="n">
        <v>749</v>
      </c>
      <c r="B750" s="81" t="s">
        <v>7</v>
      </c>
      <c r="C750" s="81" t="s">
        <v>3244</v>
      </c>
      <c r="D750" s="81" t="s">
        <v>3245</v>
      </c>
      <c r="E750" s="82" t="s">
        <v>3246</v>
      </c>
      <c r="F750" s="81" t="s">
        <v>3247</v>
      </c>
      <c r="G750" s="81" t="s">
        <v>106</v>
      </c>
      <c r="H750" s="81" t="s">
        <v>3248</v>
      </c>
    </row>
    <row r="751" customFormat="false" ht="15" hidden="false" customHeight="false" outlineLevel="0" collapsed="false">
      <c r="A751" s="81" t="n">
        <v>750</v>
      </c>
      <c r="B751" s="81" t="s">
        <v>7</v>
      </c>
      <c r="C751" s="81" t="s">
        <v>3249</v>
      </c>
      <c r="D751" s="81" t="s">
        <v>3250</v>
      </c>
      <c r="E751" s="82" t="s">
        <v>3251</v>
      </c>
      <c r="F751" s="81" t="s">
        <v>3252</v>
      </c>
      <c r="G751" s="81" t="s">
        <v>106</v>
      </c>
      <c r="H751" s="81"/>
    </row>
    <row r="752" customFormat="false" ht="15" hidden="false" customHeight="false" outlineLevel="0" collapsed="false">
      <c r="A752" s="81" t="n">
        <v>751</v>
      </c>
      <c r="B752" s="81" t="s">
        <v>7</v>
      </c>
      <c r="C752" s="81" t="s">
        <v>3253</v>
      </c>
      <c r="D752" s="81" t="s">
        <v>3254</v>
      </c>
      <c r="E752" s="82" t="s">
        <v>3255</v>
      </c>
      <c r="F752" s="81" t="s">
        <v>3256</v>
      </c>
      <c r="G752" s="81" t="s">
        <v>106</v>
      </c>
      <c r="H752" s="81" t="s">
        <v>3257</v>
      </c>
    </row>
    <row r="753" customFormat="false" ht="15" hidden="false" customHeight="false" outlineLevel="0" collapsed="false">
      <c r="A753" s="81" t="n">
        <v>752</v>
      </c>
      <c r="B753" s="81" t="s">
        <v>7</v>
      </c>
      <c r="C753" s="81" t="s">
        <v>3258</v>
      </c>
      <c r="D753" s="81" t="s">
        <v>3259</v>
      </c>
      <c r="E753" s="82" t="s">
        <v>3260</v>
      </c>
      <c r="F753" s="81" t="s">
        <v>3261</v>
      </c>
      <c r="G753" s="81" t="s">
        <v>106</v>
      </c>
      <c r="H753" s="81" t="s">
        <v>845</v>
      </c>
    </row>
    <row r="754" customFormat="false" ht="15" hidden="false" customHeight="false" outlineLevel="0" collapsed="false">
      <c r="A754" s="81" t="n">
        <v>753</v>
      </c>
      <c r="B754" s="81" t="s">
        <v>7</v>
      </c>
      <c r="C754" s="81" t="s">
        <v>3262</v>
      </c>
      <c r="D754" s="81" t="s">
        <v>3263</v>
      </c>
      <c r="E754" s="82" t="s">
        <v>3264</v>
      </c>
      <c r="F754" s="81" t="s">
        <v>3265</v>
      </c>
      <c r="G754" s="81" t="s">
        <v>106</v>
      </c>
      <c r="H754" s="81" t="s">
        <v>3266</v>
      </c>
    </row>
    <row r="755" customFormat="false" ht="15" hidden="false" customHeight="false" outlineLevel="0" collapsed="false">
      <c r="A755" s="81" t="n">
        <v>754</v>
      </c>
      <c r="B755" s="81" t="s">
        <v>7</v>
      </c>
      <c r="C755" s="81" t="s">
        <v>3267</v>
      </c>
      <c r="D755" s="81" t="s">
        <v>3268</v>
      </c>
      <c r="E755" s="81" t="s">
        <v>3269</v>
      </c>
      <c r="F755" s="81" t="s">
        <v>3270</v>
      </c>
      <c r="G755" s="81" t="s">
        <v>106</v>
      </c>
      <c r="H755" s="81"/>
    </row>
    <row r="756" customFormat="false" ht="15" hidden="false" customHeight="false" outlineLevel="0" collapsed="false">
      <c r="A756" s="81" t="n">
        <v>755</v>
      </c>
      <c r="B756" s="81" t="s">
        <v>7</v>
      </c>
      <c r="C756" s="81" t="s">
        <v>3271</v>
      </c>
      <c r="D756" s="81" t="s">
        <v>3272</v>
      </c>
      <c r="E756" s="82" t="s">
        <v>3273</v>
      </c>
      <c r="F756" s="81" t="s">
        <v>3274</v>
      </c>
      <c r="G756" s="81" t="s">
        <v>106</v>
      </c>
      <c r="H756" s="81" t="s">
        <v>845</v>
      </c>
    </row>
    <row r="757" customFormat="false" ht="15" hidden="false" customHeight="false" outlineLevel="0" collapsed="false">
      <c r="A757" s="81" t="n">
        <v>756</v>
      </c>
      <c r="B757" s="81" t="s">
        <v>7</v>
      </c>
      <c r="C757" s="81" t="s">
        <v>3275</v>
      </c>
      <c r="D757" s="81" t="s">
        <v>3276</v>
      </c>
      <c r="E757" s="82" t="s">
        <v>3277</v>
      </c>
      <c r="F757" s="81" t="s">
        <v>3278</v>
      </c>
      <c r="G757" s="81" t="s">
        <v>106</v>
      </c>
      <c r="H757" s="81" t="s">
        <v>845</v>
      </c>
    </row>
    <row r="758" customFormat="false" ht="15" hidden="false" customHeight="false" outlineLevel="0" collapsed="false">
      <c r="A758" s="81" t="n">
        <v>757</v>
      </c>
      <c r="B758" s="81" t="s">
        <v>7</v>
      </c>
      <c r="C758" s="81" t="s">
        <v>3279</v>
      </c>
      <c r="D758" s="81" t="s">
        <v>3280</v>
      </c>
      <c r="E758" s="82" t="s">
        <v>3281</v>
      </c>
      <c r="F758" s="81" t="s">
        <v>3282</v>
      </c>
      <c r="G758" s="81" t="s">
        <v>106</v>
      </c>
      <c r="H758" s="81"/>
    </row>
    <row r="759" customFormat="false" ht="15" hidden="false" customHeight="false" outlineLevel="0" collapsed="false">
      <c r="A759" s="81" t="n">
        <v>758</v>
      </c>
      <c r="B759" s="81" t="s">
        <v>7</v>
      </c>
      <c r="C759" s="81" t="s">
        <v>3283</v>
      </c>
      <c r="D759" s="81" t="s">
        <v>3284</v>
      </c>
      <c r="E759" s="82" t="s">
        <v>3285</v>
      </c>
      <c r="F759" s="81" t="s">
        <v>3286</v>
      </c>
      <c r="G759" s="81" t="s">
        <v>106</v>
      </c>
      <c r="H759" s="81"/>
    </row>
    <row r="760" customFormat="false" ht="15" hidden="false" customHeight="false" outlineLevel="0" collapsed="false">
      <c r="A760" s="81" t="n">
        <v>759</v>
      </c>
      <c r="B760" s="81" t="s">
        <v>7</v>
      </c>
      <c r="C760" s="81" t="s">
        <v>3287</v>
      </c>
      <c r="D760" s="81" t="s">
        <v>3288</v>
      </c>
      <c r="E760" s="82" t="s">
        <v>3289</v>
      </c>
      <c r="F760" s="81" t="s">
        <v>3286</v>
      </c>
      <c r="G760" s="81" t="s">
        <v>106</v>
      </c>
      <c r="H760" s="81"/>
    </row>
    <row r="761" customFormat="false" ht="15" hidden="false" customHeight="false" outlineLevel="0" collapsed="false">
      <c r="A761" s="81" t="n">
        <v>760</v>
      </c>
      <c r="B761" s="81" t="s">
        <v>7</v>
      </c>
      <c r="C761" s="81" t="s">
        <v>3290</v>
      </c>
      <c r="D761" s="81" t="s">
        <v>3291</v>
      </c>
      <c r="E761" s="82" t="s">
        <v>3292</v>
      </c>
      <c r="F761" s="81" t="s">
        <v>3293</v>
      </c>
      <c r="G761" s="81" t="s">
        <v>106</v>
      </c>
      <c r="H761" s="81" t="s">
        <v>3294</v>
      </c>
    </row>
    <row r="762" customFormat="false" ht="15" hidden="false" customHeight="false" outlineLevel="0" collapsed="false">
      <c r="A762" s="81" t="n">
        <v>761</v>
      </c>
      <c r="B762" s="81" t="s">
        <v>7</v>
      </c>
      <c r="C762" s="81" t="s">
        <v>3295</v>
      </c>
      <c r="D762" s="81" t="s">
        <v>3296</v>
      </c>
      <c r="E762" s="82" t="s">
        <v>3297</v>
      </c>
      <c r="F762" s="81" t="s">
        <v>3298</v>
      </c>
      <c r="G762" s="81" t="s">
        <v>106</v>
      </c>
      <c r="H762" s="81"/>
    </row>
    <row r="763" customFormat="false" ht="15" hidden="false" customHeight="false" outlineLevel="0" collapsed="false">
      <c r="A763" s="81" t="n">
        <v>762</v>
      </c>
      <c r="B763" s="81" t="s">
        <v>7</v>
      </c>
      <c r="C763" s="81" t="s">
        <v>3299</v>
      </c>
      <c r="D763" s="81" t="s">
        <v>3300</v>
      </c>
      <c r="E763" s="82" t="s">
        <v>3301</v>
      </c>
      <c r="F763" s="81" t="s">
        <v>3302</v>
      </c>
      <c r="G763" s="81" t="s">
        <v>106</v>
      </c>
      <c r="H763" s="81" t="s">
        <v>3303</v>
      </c>
    </row>
    <row r="764" customFormat="false" ht="15" hidden="false" customHeight="false" outlineLevel="0" collapsed="false">
      <c r="A764" s="81" t="n">
        <v>763</v>
      </c>
      <c r="B764" s="81" t="s">
        <v>7</v>
      </c>
      <c r="C764" s="81" t="s">
        <v>3304</v>
      </c>
      <c r="D764" s="81" t="s">
        <v>3305</v>
      </c>
      <c r="E764" s="82" t="s">
        <v>3306</v>
      </c>
      <c r="F764" s="81" t="s">
        <v>3307</v>
      </c>
      <c r="G764" s="81" t="s">
        <v>106</v>
      </c>
      <c r="H764" s="81"/>
    </row>
    <row r="765" customFormat="false" ht="15" hidden="false" customHeight="false" outlineLevel="0" collapsed="false">
      <c r="A765" s="81" t="n">
        <v>764</v>
      </c>
      <c r="B765" s="81" t="s">
        <v>7</v>
      </c>
      <c r="C765" s="81" t="s">
        <v>3308</v>
      </c>
      <c r="D765" s="81" t="s">
        <v>3309</v>
      </c>
      <c r="E765" s="82" t="s">
        <v>3310</v>
      </c>
      <c r="F765" s="81" t="s">
        <v>3311</v>
      </c>
      <c r="G765" s="81" t="s">
        <v>106</v>
      </c>
      <c r="H765" s="81" t="s">
        <v>3312</v>
      </c>
    </row>
    <row r="766" customFormat="false" ht="15" hidden="false" customHeight="false" outlineLevel="0" collapsed="false">
      <c r="A766" s="81" t="n">
        <v>765</v>
      </c>
      <c r="B766" s="81" t="s">
        <v>7</v>
      </c>
      <c r="C766" s="81" t="s">
        <v>3313</v>
      </c>
      <c r="D766" s="81" t="s">
        <v>3314</v>
      </c>
      <c r="E766" s="82" t="s">
        <v>3315</v>
      </c>
      <c r="F766" s="81" t="s">
        <v>3316</v>
      </c>
      <c r="G766" s="81" t="s">
        <v>106</v>
      </c>
      <c r="H766" s="81"/>
    </row>
    <row r="767" customFormat="false" ht="15" hidden="false" customHeight="false" outlineLevel="0" collapsed="false">
      <c r="A767" s="81" t="n">
        <v>766</v>
      </c>
      <c r="B767" s="81" t="s">
        <v>7</v>
      </c>
      <c r="C767" s="81" t="s">
        <v>3317</v>
      </c>
      <c r="D767" s="81" t="s">
        <v>3318</v>
      </c>
      <c r="E767" s="82" t="s">
        <v>3319</v>
      </c>
      <c r="F767" s="81" t="s">
        <v>3320</v>
      </c>
      <c r="G767" s="81" t="s">
        <v>106</v>
      </c>
      <c r="H767" s="81"/>
    </row>
    <row r="768" customFormat="false" ht="15" hidden="false" customHeight="false" outlineLevel="0" collapsed="false">
      <c r="A768" s="81" t="n">
        <v>767</v>
      </c>
      <c r="B768" s="81" t="s">
        <v>7</v>
      </c>
      <c r="C768" s="81" t="s">
        <v>3321</v>
      </c>
      <c r="D768" s="81" t="s">
        <v>3322</v>
      </c>
      <c r="E768" s="82" t="s">
        <v>3323</v>
      </c>
      <c r="F768" s="81" t="s">
        <v>3324</v>
      </c>
      <c r="G768" s="81" t="s">
        <v>106</v>
      </c>
      <c r="H768" s="81" t="s">
        <v>3325</v>
      </c>
    </row>
    <row r="769" customFormat="false" ht="15" hidden="false" customHeight="false" outlineLevel="0" collapsed="false">
      <c r="A769" s="81" t="n">
        <v>768</v>
      </c>
      <c r="B769" s="81" t="s">
        <v>7</v>
      </c>
      <c r="C769" s="81" t="s">
        <v>3326</v>
      </c>
      <c r="D769" s="81" t="s">
        <v>3327</v>
      </c>
      <c r="E769" s="82" t="s">
        <v>3328</v>
      </c>
      <c r="F769" s="81" t="s">
        <v>3329</v>
      </c>
      <c r="G769" s="81" t="s">
        <v>106</v>
      </c>
      <c r="H769" s="81" t="s">
        <v>3330</v>
      </c>
    </row>
    <row r="770" customFormat="false" ht="15" hidden="false" customHeight="false" outlineLevel="0" collapsed="false">
      <c r="A770" s="81" t="n">
        <v>769</v>
      </c>
      <c r="B770" s="81" t="s">
        <v>7</v>
      </c>
      <c r="C770" s="81" t="s">
        <v>3331</v>
      </c>
      <c r="D770" s="81" t="s">
        <v>944</v>
      </c>
      <c r="E770" s="82" t="s">
        <v>3332</v>
      </c>
      <c r="F770" s="81" t="s">
        <v>3333</v>
      </c>
      <c r="G770" s="81" t="s">
        <v>108</v>
      </c>
      <c r="H770" s="81"/>
    </row>
    <row r="771" customFormat="false" ht="15" hidden="false" customHeight="false" outlineLevel="0" collapsed="false">
      <c r="A771" s="81" t="n">
        <v>770</v>
      </c>
      <c r="B771" s="81" t="s">
        <v>7</v>
      </c>
      <c r="C771" s="81" t="s">
        <v>3334</v>
      </c>
      <c r="D771" s="81" t="s">
        <v>3335</v>
      </c>
      <c r="E771" s="82" t="s">
        <v>3336</v>
      </c>
      <c r="F771" s="81" t="s">
        <v>3337</v>
      </c>
      <c r="G771" s="81" t="s">
        <v>108</v>
      </c>
      <c r="H771" s="81"/>
    </row>
    <row r="772" customFormat="false" ht="15" hidden="false" customHeight="false" outlineLevel="0" collapsed="false">
      <c r="A772" s="81" t="n">
        <v>771</v>
      </c>
      <c r="B772" s="81" t="s">
        <v>7</v>
      </c>
      <c r="C772" s="81" t="s">
        <v>3338</v>
      </c>
      <c r="D772" s="81" t="s">
        <v>3339</v>
      </c>
      <c r="E772" s="82" t="s">
        <v>3340</v>
      </c>
      <c r="F772" s="81" t="s">
        <v>3341</v>
      </c>
      <c r="G772" s="81" t="s">
        <v>108</v>
      </c>
      <c r="H772" s="81" t="s">
        <v>3342</v>
      </c>
    </row>
    <row r="773" customFormat="false" ht="15" hidden="false" customHeight="false" outlineLevel="0" collapsed="false">
      <c r="A773" s="81" t="n">
        <v>772</v>
      </c>
      <c r="B773" s="81" t="s">
        <v>7</v>
      </c>
      <c r="C773" s="81" t="s">
        <v>3343</v>
      </c>
      <c r="D773" s="81" t="s">
        <v>3344</v>
      </c>
      <c r="E773" s="82" t="s">
        <v>3345</v>
      </c>
      <c r="F773" s="81" t="s">
        <v>3346</v>
      </c>
      <c r="G773" s="81" t="s">
        <v>108</v>
      </c>
      <c r="H773" s="81" t="s">
        <v>3347</v>
      </c>
    </row>
    <row r="774" customFormat="false" ht="15" hidden="false" customHeight="false" outlineLevel="0" collapsed="false">
      <c r="A774" s="81" t="n">
        <v>773</v>
      </c>
      <c r="B774" s="81" t="s">
        <v>7</v>
      </c>
      <c r="C774" s="81" t="s">
        <v>3348</v>
      </c>
      <c r="D774" s="81" t="s">
        <v>3349</v>
      </c>
      <c r="E774" s="82" t="s">
        <v>3350</v>
      </c>
      <c r="F774" s="81" t="s">
        <v>3351</v>
      </c>
      <c r="G774" s="81" t="s">
        <v>108</v>
      </c>
      <c r="H774" s="81"/>
    </row>
    <row r="775" customFormat="false" ht="15" hidden="false" customHeight="false" outlineLevel="0" collapsed="false">
      <c r="A775" s="81" t="n">
        <v>774</v>
      </c>
      <c r="B775" s="81" t="s">
        <v>7</v>
      </c>
      <c r="C775" s="81" t="s">
        <v>3352</v>
      </c>
      <c r="D775" s="81" t="s">
        <v>3353</v>
      </c>
      <c r="E775" s="82" t="s">
        <v>3354</v>
      </c>
      <c r="F775" s="81" t="s">
        <v>3355</v>
      </c>
      <c r="G775" s="81" t="s">
        <v>108</v>
      </c>
      <c r="H775" s="81"/>
    </row>
    <row r="776" customFormat="false" ht="15" hidden="false" customHeight="false" outlineLevel="0" collapsed="false">
      <c r="A776" s="81" t="n">
        <v>775</v>
      </c>
      <c r="B776" s="81" t="s">
        <v>7</v>
      </c>
      <c r="C776" s="81" t="s">
        <v>3356</v>
      </c>
      <c r="D776" s="81" t="s">
        <v>3357</v>
      </c>
      <c r="E776" s="82" t="s">
        <v>3358</v>
      </c>
      <c r="F776" s="81" t="s">
        <v>792</v>
      </c>
      <c r="G776" s="81" t="s">
        <v>108</v>
      </c>
      <c r="H776" s="81"/>
    </row>
    <row r="777" customFormat="false" ht="15" hidden="false" customHeight="false" outlineLevel="0" collapsed="false">
      <c r="A777" s="81" t="n">
        <v>776</v>
      </c>
      <c r="B777" s="81" t="s">
        <v>7</v>
      </c>
      <c r="C777" s="81" t="s">
        <v>3359</v>
      </c>
      <c r="D777" s="81" t="s">
        <v>3360</v>
      </c>
      <c r="E777" s="82" t="s">
        <v>945</v>
      </c>
      <c r="F777" s="81" t="s">
        <v>946</v>
      </c>
      <c r="G777" s="81" t="s">
        <v>108</v>
      </c>
      <c r="H777" s="81"/>
    </row>
    <row r="778" customFormat="false" ht="15" hidden="false" customHeight="false" outlineLevel="0" collapsed="false">
      <c r="A778" s="81" t="n">
        <v>777</v>
      </c>
      <c r="B778" s="81" t="s">
        <v>7</v>
      </c>
      <c r="C778" s="81" t="s">
        <v>3361</v>
      </c>
      <c r="D778" s="81" t="s">
        <v>3362</v>
      </c>
      <c r="E778" s="82" t="s">
        <v>3363</v>
      </c>
      <c r="F778" s="81" t="s">
        <v>3364</v>
      </c>
      <c r="G778" s="81" t="s">
        <v>108</v>
      </c>
      <c r="H778" s="81"/>
    </row>
    <row r="779" customFormat="false" ht="15" hidden="false" customHeight="false" outlineLevel="0" collapsed="false">
      <c r="A779" s="81" t="n">
        <v>778</v>
      </c>
      <c r="B779" s="81" t="s">
        <v>7</v>
      </c>
      <c r="C779" s="81" t="s">
        <v>3365</v>
      </c>
      <c r="D779" s="81" t="s">
        <v>3366</v>
      </c>
      <c r="E779" s="82" t="s">
        <v>3367</v>
      </c>
      <c r="F779" s="81" t="s">
        <v>3368</v>
      </c>
      <c r="G779" s="81" t="s">
        <v>108</v>
      </c>
      <c r="H779" s="81"/>
    </row>
    <row r="780" customFormat="false" ht="15" hidden="false" customHeight="false" outlineLevel="0" collapsed="false">
      <c r="A780" s="81" t="n">
        <v>779</v>
      </c>
      <c r="B780" s="81" t="s">
        <v>7</v>
      </c>
      <c r="C780" s="81" t="s">
        <v>3369</v>
      </c>
      <c r="D780" s="81" t="s">
        <v>3370</v>
      </c>
      <c r="E780" s="82" t="s">
        <v>3371</v>
      </c>
      <c r="F780" s="81" t="s">
        <v>3372</v>
      </c>
      <c r="G780" s="81" t="s">
        <v>108</v>
      </c>
      <c r="H780" s="81"/>
    </row>
    <row r="781" customFormat="false" ht="15" hidden="false" customHeight="false" outlineLevel="0" collapsed="false">
      <c r="A781" s="81" t="n">
        <v>780</v>
      </c>
      <c r="B781" s="81" t="s">
        <v>7</v>
      </c>
      <c r="C781" s="81" t="s">
        <v>3373</v>
      </c>
      <c r="D781" s="81" t="s">
        <v>3374</v>
      </c>
      <c r="E781" s="82" t="s">
        <v>3375</v>
      </c>
      <c r="F781" s="81" t="s">
        <v>3376</v>
      </c>
      <c r="G781" s="81" t="s">
        <v>108</v>
      </c>
      <c r="H781" s="81" t="s">
        <v>3377</v>
      </c>
    </row>
    <row r="782" customFormat="false" ht="15" hidden="false" customHeight="false" outlineLevel="0" collapsed="false">
      <c r="A782" s="81" t="n">
        <v>781</v>
      </c>
      <c r="B782" s="81" t="s">
        <v>7</v>
      </c>
      <c r="C782" s="81" t="s">
        <v>3378</v>
      </c>
      <c r="D782" s="81" t="s">
        <v>3379</v>
      </c>
      <c r="E782" s="82" t="s">
        <v>3380</v>
      </c>
      <c r="F782" s="81" t="s">
        <v>3381</v>
      </c>
      <c r="G782" s="81" t="s">
        <v>108</v>
      </c>
      <c r="H782" s="81" t="s">
        <v>3382</v>
      </c>
    </row>
    <row r="783" customFormat="false" ht="15" hidden="false" customHeight="false" outlineLevel="0" collapsed="false">
      <c r="A783" s="81" t="n">
        <v>782</v>
      </c>
      <c r="B783" s="81" t="s">
        <v>7</v>
      </c>
      <c r="C783" s="81" t="s">
        <v>3383</v>
      </c>
      <c r="D783" s="81" t="s">
        <v>3384</v>
      </c>
      <c r="E783" s="82" t="s">
        <v>3385</v>
      </c>
      <c r="F783" s="81" t="s">
        <v>3386</v>
      </c>
      <c r="G783" s="81" t="s">
        <v>108</v>
      </c>
      <c r="H783" s="81" t="s">
        <v>3387</v>
      </c>
    </row>
    <row r="784" customFormat="false" ht="15" hidden="false" customHeight="false" outlineLevel="0" collapsed="false">
      <c r="A784" s="81" t="n">
        <v>783</v>
      </c>
      <c r="B784" s="81" t="s">
        <v>7</v>
      </c>
      <c r="C784" s="81" t="s">
        <v>3388</v>
      </c>
      <c r="D784" s="81" t="s">
        <v>3389</v>
      </c>
      <c r="E784" s="82" t="s">
        <v>3390</v>
      </c>
      <c r="F784" s="81" t="s">
        <v>3391</v>
      </c>
      <c r="G784" s="81" t="s">
        <v>108</v>
      </c>
      <c r="H784" s="81" t="s">
        <v>3392</v>
      </c>
    </row>
    <row r="785" customFormat="false" ht="15" hidden="false" customHeight="false" outlineLevel="0" collapsed="false">
      <c r="A785" s="81" t="n">
        <v>784</v>
      </c>
      <c r="B785" s="81" t="s">
        <v>7</v>
      </c>
      <c r="C785" s="81" t="s">
        <v>3393</v>
      </c>
      <c r="D785" s="81" t="s">
        <v>3394</v>
      </c>
      <c r="E785" s="82" t="s">
        <v>3395</v>
      </c>
      <c r="F785" s="81" t="s">
        <v>3396</v>
      </c>
      <c r="G785" s="81" t="s">
        <v>108</v>
      </c>
      <c r="H785" s="81"/>
    </row>
    <row r="786" customFormat="false" ht="15" hidden="false" customHeight="false" outlineLevel="0" collapsed="false">
      <c r="A786" s="81" t="n">
        <v>785</v>
      </c>
      <c r="B786" s="81" t="s">
        <v>7</v>
      </c>
      <c r="C786" s="81" t="s">
        <v>3397</v>
      </c>
      <c r="D786" s="81" t="s">
        <v>3398</v>
      </c>
      <c r="E786" s="82" t="s">
        <v>3399</v>
      </c>
      <c r="F786" s="81" t="s">
        <v>3400</v>
      </c>
      <c r="G786" s="81" t="s">
        <v>108</v>
      </c>
      <c r="H786" s="81" t="s">
        <v>3401</v>
      </c>
    </row>
    <row r="787" customFormat="false" ht="15" hidden="false" customHeight="false" outlineLevel="0" collapsed="false">
      <c r="A787" s="81" t="n">
        <v>786</v>
      </c>
      <c r="B787" s="81" t="s">
        <v>7</v>
      </c>
      <c r="C787" s="81" t="s">
        <v>3402</v>
      </c>
      <c r="D787" s="81" t="s">
        <v>3403</v>
      </c>
      <c r="E787" s="82" t="s">
        <v>3404</v>
      </c>
      <c r="F787" s="81" t="s">
        <v>3405</v>
      </c>
      <c r="G787" s="81" t="s">
        <v>108</v>
      </c>
      <c r="H787" s="81"/>
    </row>
    <row r="788" customFormat="false" ht="15" hidden="false" customHeight="false" outlineLevel="0" collapsed="false">
      <c r="A788" s="81" t="n">
        <v>787</v>
      </c>
      <c r="B788" s="81" t="s">
        <v>7</v>
      </c>
      <c r="C788" s="81" t="s">
        <v>3406</v>
      </c>
      <c r="D788" s="81" t="s">
        <v>3407</v>
      </c>
      <c r="E788" s="82" t="s">
        <v>3408</v>
      </c>
      <c r="F788" s="81" t="s">
        <v>3409</v>
      </c>
      <c r="G788" s="81" t="s">
        <v>108</v>
      </c>
      <c r="H788" s="81" t="s">
        <v>3410</v>
      </c>
    </row>
    <row r="789" customFormat="false" ht="15" hidden="false" customHeight="false" outlineLevel="0" collapsed="false">
      <c r="A789" s="81" t="n">
        <v>788</v>
      </c>
      <c r="B789" s="81" t="s">
        <v>7</v>
      </c>
      <c r="C789" s="81" t="s">
        <v>3411</v>
      </c>
      <c r="D789" s="81" t="s">
        <v>3412</v>
      </c>
      <c r="E789" s="82" t="s">
        <v>3413</v>
      </c>
      <c r="F789" s="81" t="s">
        <v>3414</v>
      </c>
      <c r="G789" s="81" t="s">
        <v>108</v>
      </c>
      <c r="H789" s="81"/>
    </row>
    <row r="790" customFormat="false" ht="15" hidden="false" customHeight="false" outlineLevel="0" collapsed="false">
      <c r="A790" s="81" t="n">
        <v>789</v>
      </c>
      <c r="B790" s="81" t="s">
        <v>7</v>
      </c>
      <c r="C790" s="81" t="s">
        <v>3415</v>
      </c>
      <c r="D790" s="81" t="s">
        <v>3416</v>
      </c>
      <c r="E790" s="82" t="s">
        <v>3417</v>
      </c>
      <c r="F790" s="81" t="s">
        <v>3418</v>
      </c>
      <c r="G790" s="81" t="s">
        <v>108</v>
      </c>
      <c r="H790" s="81"/>
    </row>
    <row r="791" customFormat="false" ht="15" hidden="false" customHeight="false" outlineLevel="0" collapsed="false">
      <c r="A791" s="81" t="n">
        <v>790</v>
      </c>
      <c r="B791" s="81" t="s">
        <v>7</v>
      </c>
      <c r="C791" s="81" t="s">
        <v>3419</v>
      </c>
      <c r="D791" s="81" t="s">
        <v>3420</v>
      </c>
      <c r="E791" s="82" t="s">
        <v>3421</v>
      </c>
      <c r="F791" s="81" t="s">
        <v>3422</v>
      </c>
      <c r="G791" s="81" t="s">
        <v>108</v>
      </c>
      <c r="H791" s="81"/>
    </row>
    <row r="792" customFormat="false" ht="15" hidden="false" customHeight="false" outlineLevel="0" collapsed="false">
      <c r="A792" s="81" t="n">
        <v>791</v>
      </c>
      <c r="B792" s="81" t="s">
        <v>7</v>
      </c>
      <c r="C792" s="81" t="s">
        <v>3423</v>
      </c>
      <c r="D792" s="81" t="s">
        <v>3424</v>
      </c>
      <c r="E792" s="82" t="s">
        <v>3425</v>
      </c>
      <c r="F792" s="81" t="s">
        <v>3426</v>
      </c>
      <c r="G792" s="81" t="s">
        <v>108</v>
      </c>
      <c r="H792" s="81"/>
    </row>
    <row r="793" customFormat="false" ht="15" hidden="false" customHeight="false" outlineLevel="0" collapsed="false">
      <c r="A793" s="81" t="n">
        <v>792</v>
      </c>
      <c r="B793" s="81" t="s">
        <v>7</v>
      </c>
      <c r="C793" s="81" t="s">
        <v>3427</v>
      </c>
      <c r="D793" s="81" t="s">
        <v>3428</v>
      </c>
      <c r="E793" s="82" t="s">
        <v>3429</v>
      </c>
      <c r="F793" s="81" t="s">
        <v>3430</v>
      </c>
      <c r="G793" s="81" t="s">
        <v>108</v>
      </c>
      <c r="H793" s="81"/>
    </row>
    <row r="794" customFormat="false" ht="15" hidden="false" customHeight="false" outlineLevel="0" collapsed="false">
      <c r="A794" s="81" t="n">
        <v>793</v>
      </c>
      <c r="B794" s="81" t="s">
        <v>7</v>
      </c>
      <c r="C794" s="81" t="s">
        <v>3431</v>
      </c>
      <c r="D794" s="81" t="s">
        <v>3432</v>
      </c>
      <c r="E794" s="82" t="s">
        <v>3433</v>
      </c>
      <c r="F794" s="81" t="s">
        <v>3434</v>
      </c>
      <c r="G794" s="81" t="s">
        <v>108</v>
      </c>
      <c r="H794" s="81"/>
    </row>
    <row r="795" customFormat="false" ht="15" hidden="false" customHeight="false" outlineLevel="0" collapsed="false">
      <c r="A795" s="81" t="n">
        <v>794</v>
      </c>
      <c r="B795" s="81" t="s">
        <v>7</v>
      </c>
      <c r="C795" s="81" t="s">
        <v>3435</v>
      </c>
      <c r="D795" s="81" t="s">
        <v>3436</v>
      </c>
      <c r="E795" s="82" t="s">
        <v>3437</v>
      </c>
      <c r="F795" s="81" t="s">
        <v>3438</v>
      </c>
      <c r="G795" s="81" t="s">
        <v>108</v>
      </c>
      <c r="H795" s="81"/>
    </row>
    <row r="796" customFormat="false" ht="15" hidden="false" customHeight="false" outlineLevel="0" collapsed="false">
      <c r="A796" s="81" t="n">
        <v>795</v>
      </c>
      <c r="B796" s="81" t="s">
        <v>7</v>
      </c>
      <c r="C796" s="81" t="s">
        <v>3439</v>
      </c>
      <c r="D796" s="81" t="s">
        <v>3440</v>
      </c>
      <c r="E796" s="82" t="s">
        <v>3441</v>
      </c>
      <c r="F796" s="81" t="s">
        <v>2597</v>
      </c>
      <c r="G796" s="81" t="s">
        <v>108</v>
      </c>
      <c r="H796" s="81"/>
    </row>
    <row r="797" customFormat="false" ht="15" hidden="false" customHeight="false" outlineLevel="0" collapsed="false">
      <c r="A797" s="81" t="n">
        <v>796</v>
      </c>
      <c r="B797" s="81" t="s">
        <v>7</v>
      </c>
      <c r="C797" s="81" t="s">
        <v>3442</v>
      </c>
      <c r="D797" s="81" t="s">
        <v>3443</v>
      </c>
      <c r="E797" s="82" t="s">
        <v>3444</v>
      </c>
      <c r="F797" s="81" t="s">
        <v>3445</v>
      </c>
      <c r="G797" s="81" t="s">
        <v>108</v>
      </c>
      <c r="H797" s="81" t="s">
        <v>3446</v>
      </c>
    </row>
    <row r="798" customFormat="false" ht="15" hidden="false" customHeight="false" outlineLevel="0" collapsed="false">
      <c r="A798" s="81" t="n">
        <v>797</v>
      </c>
      <c r="B798" s="81" t="s">
        <v>7</v>
      </c>
      <c r="C798" s="81" t="s">
        <v>3447</v>
      </c>
      <c r="D798" s="81" t="s">
        <v>3448</v>
      </c>
      <c r="E798" s="82" t="s">
        <v>3449</v>
      </c>
      <c r="F798" s="81" t="s">
        <v>3450</v>
      </c>
      <c r="G798" s="81" t="s">
        <v>108</v>
      </c>
      <c r="H798" s="81"/>
    </row>
    <row r="799" customFormat="false" ht="15" hidden="false" customHeight="false" outlineLevel="0" collapsed="false">
      <c r="A799" s="81" t="n">
        <v>798</v>
      </c>
      <c r="B799" s="81" t="s">
        <v>7</v>
      </c>
      <c r="C799" s="81" t="s">
        <v>3451</v>
      </c>
      <c r="D799" s="81" t="s">
        <v>3452</v>
      </c>
      <c r="E799" s="82" t="s">
        <v>3453</v>
      </c>
      <c r="F799" s="81" t="s">
        <v>3454</v>
      </c>
      <c r="G799" s="81" t="s">
        <v>108</v>
      </c>
      <c r="H799" s="81"/>
    </row>
    <row r="800" customFormat="false" ht="15" hidden="false" customHeight="false" outlineLevel="0" collapsed="false">
      <c r="A800" s="81" t="n">
        <v>799</v>
      </c>
      <c r="B800" s="81" t="s">
        <v>7</v>
      </c>
      <c r="C800" s="81" t="s">
        <v>3455</v>
      </c>
      <c r="D800" s="81" t="s">
        <v>3456</v>
      </c>
      <c r="E800" s="82" t="s">
        <v>3457</v>
      </c>
      <c r="F800" s="81" t="s">
        <v>3458</v>
      </c>
      <c r="G800" s="81" t="s">
        <v>110</v>
      </c>
      <c r="H800" s="81" t="s">
        <v>3459</v>
      </c>
    </row>
    <row r="801" customFormat="false" ht="15" hidden="false" customHeight="false" outlineLevel="0" collapsed="false">
      <c r="A801" s="81" t="n">
        <v>800</v>
      </c>
      <c r="B801" s="81" t="s">
        <v>7</v>
      </c>
      <c r="C801" s="81" t="s">
        <v>3460</v>
      </c>
      <c r="D801" s="81" t="s">
        <v>3461</v>
      </c>
      <c r="E801" s="82" t="s">
        <v>3462</v>
      </c>
      <c r="F801" s="81" t="s">
        <v>3463</v>
      </c>
      <c r="G801" s="81" t="s">
        <v>110</v>
      </c>
      <c r="H801" s="81"/>
    </row>
    <row r="802" customFormat="false" ht="15" hidden="false" customHeight="false" outlineLevel="0" collapsed="false">
      <c r="A802" s="81" t="n">
        <v>801</v>
      </c>
      <c r="B802" s="81" t="s">
        <v>7</v>
      </c>
      <c r="C802" s="81" t="s">
        <v>3464</v>
      </c>
      <c r="D802" s="81" t="s">
        <v>3465</v>
      </c>
      <c r="E802" s="82" t="s">
        <v>3466</v>
      </c>
      <c r="F802" s="81" t="s">
        <v>3467</v>
      </c>
      <c r="G802" s="81" t="s">
        <v>110</v>
      </c>
      <c r="H802" s="81" t="s">
        <v>3468</v>
      </c>
    </row>
    <row r="803" customFormat="false" ht="15" hidden="false" customHeight="false" outlineLevel="0" collapsed="false">
      <c r="A803" s="81" t="n">
        <v>802</v>
      </c>
      <c r="B803" s="81" t="s">
        <v>7</v>
      </c>
      <c r="C803" s="81" t="s">
        <v>3469</v>
      </c>
      <c r="D803" s="81" t="s">
        <v>3470</v>
      </c>
      <c r="E803" s="82" t="s">
        <v>3471</v>
      </c>
      <c r="F803" s="81" t="s">
        <v>3472</v>
      </c>
      <c r="G803" s="81" t="s">
        <v>110</v>
      </c>
      <c r="H803" s="81"/>
    </row>
    <row r="804" customFormat="false" ht="15" hidden="false" customHeight="false" outlineLevel="0" collapsed="false">
      <c r="A804" s="81" t="n">
        <v>803</v>
      </c>
      <c r="B804" s="81" t="s">
        <v>7</v>
      </c>
      <c r="C804" s="81" t="s">
        <v>3473</v>
      </c>
      <c r="D804" s="81" t="s">
        <v>3474</v>
      </c>
      <c r="E804" s="82" t="s">
        <v>3475</v>
      </c>
      <c r="F804" s="81" t="s">
        <v>3476</v>
      </c>
      <c r="G804" s="81" t="s">
        <v>110</v>
      </c>
      <c r="H804" s="81"/>
    </row>
    <row r="805" customFormat="false" ht="15" hidden="false" customHeight="false" outlineLevel="0" collapsed="false">
      <c r="A805" s="81" t="n">
        <v>804</v>
      </c>
      <c r="B805" s="81" t="s">
        <v>7</v>
      </c>
      <c r="C805" s="81" t="s">
        <v>3477</v>
      </c>
      <c r="D805" s="81" t="s">
        <v>3478</v>
      </c>
      <c r="E805" s="82" t="s">
        <v>3479</v>
      </c>
      <c r="F805" s="81" t="s">
        <v>3480</v>
      </c>
      <c r="G805" s="81" t="s">
        <v>110</v>
      </c>
      <c r="H805" s="81"/>
    </row>
    <row r="806" customFormat="false" ht="15" hidden="false" customHeight="false" outlineLevel="0" collapsed="false">
      <c r="A806" s="81" t="n">
        <v>805</v>
      </c>
      <c r="B806" s="81" t="s">
        <v>7</v>
      </c>
      <c r="C806" s="81" t="s">
        <v>3481</v>
      </c>
      <c r="D806" s="81" t="s">
        <v>3482</v>
      </c>
      <c r="E806" s="82" t="s">
        <v>3483</v>
      </c>
      <c r="F806" s="81" t="s">
        <v>3484</v>
      </c>
      <c r="G806" s="81" t="s">
        <v>110</v>
      </c>
      <c r="H806" s="81"/>
    </row>
    <row r="807" customFormat="false" ht="15" hidden="false" customHeight="false" outlineLevel="0" collapsed="false">
      <c r="A807" s="81" t="n">
        <v>806</v>
      </c>
      <c r="B807" s="81" t="s">
        <v>7</v>
      </c>
      <c r="C807" s="81" t="s">
        <v>3485</v>
      </c>
      <c r="D807" s="81" t="s">
        <v>3486</v>
      </c>
      <c r="E807" s="82" t="s">
        <v>3487</v>
      </c>
      <c r="F807" s="81" t="s">
        <v>3488</v>
      </c>
      <c r="G807" s="81" t="s">
        <v>110</v>
      </c>
      <c r="H807" s="81"/>
    </row>
    <row r="808" customFormat="false" ht="15" hidden="false" customHeight="false" outlineLevel="0" collapsed="false">
      <c r="A808" s="81" t="n">
        <v>807</v>
      </c>
      <c r="B808" s="81" t="s">
        <v>7</v>
      </c>
      <c r="C808" s="81" t="s">
        <v>3489</v>
      </c>
      <c r="D808" s="81" t="s">
        <v>3490</v>
      </c>
      <c r="E808" s="82" t="s">
        <v>3491</v>
      </c>
      <c r="F808" s="81" t="s">
        <v>3492</v>
      </c>
      <c r="G808" s="81" t="s">
        <v>110</v>
      </c>
      <c r="H808" s="81" t="s">
        <v>3493</v>
      </c>
    </row>
    <row r="809" customFormat="false" ht="15" hidden="false" customHeight="false" outlineLevel="0" collapsed="false">
      <c r="A809" s="81" t="n">
        <v>808</v>
      </c>
      <c r="B809" s="81" t="s">
        <v>7</v>
      </c>
      <c r="C809" s="81" t="s">
        <v>3494</v>
      </c>
      <c r="D809" s="81" t="s">
        <v>3495</v>
      </c>
      <c r="E809" s="82" t="s">
        <v>3496</v>
      </c>
      <c r="F809" s="81" t="s">
        <v>3497</v>
      </c>
      <c r="G809" s="81" t="s">
        <v>110</v>
      </c>
      <c r="H809" s="81" t="s">
        <v>3498</v>
      </c>
    </row>
    <row r="810" customFormat="false" ht="15" hidden="false" customHeight="false" outlineLevel="0" collapsed="false">
      <c r="A810" s="81" t="n">
        <v>809</v>
      </c>
      <c r="B810" s="81" t="s">
        <v>7</v>
      </c>
      <c r="C810" s="81" t="s">
        <v>3499</v>
      </c>
      <c r="D810" s="81" t="s">
        <v>3500</v>
      </c>
      <c r="E810" s="82" t="s">
        <v>3501</v>
      </c>
      <c r="F810" s="81" t="s">
        <v>3502</v>
      </c>
      <c r="G810" s="81" t="s">
        <v>110</v>
      </c>
      <c r="H810" s="81" t="s">
        <v>3503</v>
      </c>
    </row>
    <row r="811" customFormat="false" ht="15" hidden="false" customHeight="false" outlineLevel="0" collapsed="false">
      <c r="A811" s="81" t="n">
        <v>810</v>
      </c>
      <c r="B811" s="81" t="s">
        <v>7</v>
      </c>
      <c r="C811" s="81" t="s">
        <v>3504</v>
      </c>
      <c r="D811" s="81" t="s">
        <v>3505</v>
      </c>
      <c r="E811" s="82" t="s">
        <v>3506</v>
      </c>
      <c r="F811" s="81" t="s">
        <v>3507</v>
      </c>
      <c r="G811" s="81" t="s">
        <v>110</v>
      </c>
      <c r="H811" s="81"/>
    </row>
    <row r="812" customFormat="false" ht="15" hidden="false" customHeight="false" outlineLevel="0" collapsed="false">
      <c r="A812" s="81" t="n">
        <v>811</v>
      </c>
      <c r="B812" s="81" t="s">
        <v>7</v>
      </c>
      <c r="C812" s="81" t="s">
        <v>3508</v>
      </c>
      <c r="D812" s="81" t="s">
        <v>3509</v>
      </c>
      <c r="E812" s="82" t="s">
        <v>3510</v>
      </c>
      <c r="F812" s="81" t="s">
        <v>3511</v>
      </c>
      <c r="G812" s="81" t="s">
        <v>110</v>
      </c>
      <c r="H812" s="81" t="s">
        <v>3512</v>
      </c>
    </row>
    <row r="813" customFormat="false" ht="15" hidden="false" customHeight="false" outlineLevel="0" collapsed="false">
      <c r="A813" s="81" t="n">
        <v>812</v>
      </c>
      <c r="B813" s="81" t="s">
        <v>7</v>
      </c>
      <c r="C813" s="81" t="s">
        <v>3513</v>
      </c>
      <c r="D813" s="81" t="s">
        <v>3514</v>
      </c>
      <c r="E813" s="82" t="s">
        <v>3515</v>
      </c>
      <c r="F813" s="81" t="s">
        <v>3516</v>
      </c>
      <c r="G813" s="81" t="s">
        <v>110</v>
      </c>
      <c r="H813" s="81"/>
    </row>
    <row r="814" customFormat="false" ht="15" hidden="false" customHeight="false" outlineLevel="0" collapsed="false">
      <c r="A814" s="81" t="n">
        <v>813</v>
      </c>
      <c r="B814" s="81" t="s">
        <v>7</v>
      </c>
      <c r="C814" s="81" t="s">
        <v>3517</v>
      </c>
      <c r="D814" s="81" t="s">
        <v>3518</v>
      </c>
      <c r="E814" s="82" t="s">
        <v>3519</v>
      </c>
      <c r="F814" s="81" t="s">
        <v>3520</v>
      </c>
      <c r="G814" s="81" t="s">
        <v>110</v>
      </c>
      <c r="H814" s="81" t="s">
        <v>3521</v>
      </c>
    </row>
    <row r="815" customFormat="false" ht="15" hidden="false" customHeight="false" outlineLevel="0" collapsed="false">
      <c r="A815" s="81" t="n">
        <v>814</v>
      </c>
      <c r="B815" s="81" t="s">
        <v>7</v>
      </c>
      <c r="C815" s="81" t="s">
        <v>3522</v>
      </c>
      <c r="D815" s="81" t="s">
        <v>3523</v>
      </c>
      <c r="E815" s="82" t="s">
        <v>3524</v>
      </c>
      <c r="F815" s="81" t="s">
        <v>3525</v>
      </c>
      <c r="G815" s="81" t="s">
        <v>110</v>
      </c>
      <c r="H815" s="81"/>
    </row>
    <row r="816" customFormat="false" ht="15" hidden="false" customHeight="false" outlineLevel="0" collapsed="false">
      <c r="A816" s="81" t="n">
        <v>815</v>
      </c>
      <c r="B816" s="81" t="s">
        <v>7</v>
      </c>
      <c r="C816" s="81" t="s">
        <v>3526</v>
      </c>
      <c r="D816" s="81" t="s">
        <v>3527</v>
      </c>
      <c r="E816" s="82" t="s">
        <v>3528</v>
      </c>
      <c r="F816" s="81" t="s">
        <v>3529</v>
      </c>
      <c r="G816" s="81" t="s">
        <v>110</v>
      </c>
      <c r="H816" s="81" t="s">
        <v>3530</v>
      </c>
    </row>
    <row r="817" customFormat="false" ht="15" hidden="false" customHeight="false" outlineLevel="0" collapsed="false">
      <c r="A817" s="81" t="n">
        <v>816</v>
      </c>
      <c r="B817" s="81" t="s">
        <v>7</v>
      </c>
      <c r="C817" s="81" t="s">
        <v>3531</v>
      </c>
      <c r="D817" s="81" t="s">
        <v>3532</v>
      </c>
      <c r="E817" s="82" t="s">
        <v>3533</v>
      </c>
      <c r="F817" s="81" t="s">
        <v>3534</v>
      </c>
      <c r="G817" s="81" t="s">
        <v>110</v>
      </c>
      <c r="H817" s="81"/>
    </row>
    <row r="818" customFormat="false" ht="15" hidden="false" customHeight="false" outlineLevel="0" collapsed="false">
      <c r="A818" s="81" t="n">
        <v>817</v>
      </c>
      <c r="B818" s="81" t="s">
        <v>7</v>
      </c>
      <c r="C818" s="81" t="s">
        <v>3535</v>
      </c>
      <c r="D818" s="81" t="s">
        <v>3536</v>
      </c>
      <c r="E818" s="82" t="s">
        <v>3537</v>
      </c>
      <c r="F818" s="81" t="s">
        <v>3538</v>
      </c>
      <c r="G818" s="81" t="s">
        <v>110</v>
      </c>
      <c r="H818" s="81"/>
    </row>
    <row r="819" customFormat="false" ht="15" hidden="false" customHeight="false" outlineLevel="0" collapsed="false">
      <c r="A819" s="81" t="n">
        <v>818</v>
      </c>
      <c r="B819" s="81" t="s">
        <v>7</v>
      </c>
      <c r="C819" s="81" t="s">
        <v>3539</v>
      </c>
      <c r="D819" s="81" t="s">
        <v>3540</v>
      </c>
      <c r="E819" s="82" t="s">
        <v>3541</v>
      </c>
      <c r="F819" s="81" t="s">
        <v>3542</v>
      </c>
      <c r="G819" s="81" t="s">
        <v>110</v>
      </c>
      <c r="H819" s="81"/>
    </row>
    <row r="820" customFormat="false" ht="15" hidden="false" customHeight="false" outlineLevel="0" collapsed="false">
      <c r="A820" s="81" t="n">
        <v>819</v>
      </c>
      <c r="B820" s="81" t="s">
        <v>7</v>
      </c>
      <c r="C820" s="81" t="s">
        <v>3543</v>
      </c>
      <c r="D820" s="81" t="s">
        <v>3544</v>
      </c>
      <c r="E820" s="82" t="s">
        <v>3545</v>
      </c>
      <c r="F820" s="81" t="s">
        <v>3546</v>
      </c>
      <c r="G820" s="81" t="s">
        <v>110</v>
      </c>
      <c r="H820" s="81"/>
    </row>
    <row r="821" customFormat="false" ht="15" hidden="false" customHeight="false" outlineLevel="0" collapsed="false">
      <c r="A821" s="81" t="n">
        <v>820</v>
      </c>
      <c r="B821" s="81" t="s">
        <v>7</v>
      </c>
      <c r="C821" s="81" t="s">
        <v>3547</v>
      </c>
      <c r="D821" s="81" t="s">
        <v>3548</v>
      </c>
      <c r="E821" s="82" t="s">
        <v>3549</v>
      </c>
      <c r="F821" s="81" t="s">
        <v>3550</v>
      </c>
      <c r="G821" s="81" t="s">
        <v>112</v>
      </c>
      <c r="H821" s="81" t="s">
        <v>3551</v>
      </c>
    </row>
    <row r="822" customFormat="false" ht="15" hidden="false" customHeight="false" outlineLevel="0" collapsed="false">
      <c r="A822" s="81" t="n">
        <v>821</v>
      </c>
      <c r="B822" s="81" t="s">
        <v>7</v>
      </c>
      <c r="C822" s="81" t="s">
        <v>3552</v>
      </c>
      <c r="D822" s="81" t="s">
        <v>3553</v>
      </c>
      <c r="E822" s="82" t="s">
        <v>3554</v>
      </c>
      <c r="F822" s="81" t="s">
        <v>3555</v>
      </c>
      <c r="G822" s="81" t="s">
        <v>112</v>
      </c>
      <c r="H822" s="81"/>
    </row>
    <row r="823" customFormat="false" ht="15" hidden="false" customHeight="false" outlineLevel="0" collapsed="false">
      <c r="A823" s="81" t="n">
        <v>822</v>
      </c>
      <c r="B823" s="81" t="s">
        <v>7</v>
      </c>
      <c r="C823" s="81" t="s">
        <v>3556</v>
      </c>
      <c r="D823" s="81" t="s">
        <v>3557</v>
      </c>
      <c r="E823" s="82" t="s">
        <v>3558</v>
      </c>
      <c r="F823" s="81" t="s">
        <v>3559</v>
      </c>
      <c r="G823" s="81" t="s">
        <v>112</v>
      </c>
      <c r="H823" s="81" t="s">
        <v>3560</v>
      </c>
    </row>
    <row r="824" customFormat="false" ht="15" hidden="false" customHeight="false" outlineLevel="0" collapsed="false">
      <c r="A824" s="81" t="n">
        <v>823</v>
      </c>
      <c r="B824" s="81" t="s">
        <v>7</v>
      </c>
      <c r="C824" s="81" t="s">
        <v>3561</v>
      </c>
      <c r="D824" s="81" t="s">
        <v>3562</v>
      </c>
      <c r="E824" s="82" t="s">
        <v>3563</v>
      </c>
      <c r="F824" s="81" t="s">
        <v>3564</v>
      </c>
      <c r="G824" s="81" t="s">
        <v>112</v>
      </c>
      <c r="H824" s="81"/>
    </row>
    <row r="825" customFormat="false" ht="15" hidden="false" customHeight="false" outlineLevel="0" collapsed="false">
      <c r="A825" s="81" t="n">
        <v>824</v>
      </c>
      <c r="B825" s="81" t="s">
        <v>7</v>
      </c>
      <c r="C825" s="81" t="s">
        <v>3565</v>
      </c>
      <c r="D825" s="81" t="s">
        <v>3566</v>
      </c>
      <c r="E825" s="82" t="s">
        <v>3567</v>
      </c>
      <c r="F825" s="81" t="s">
        <v>3568</v>
      </c>
      <c r="G825" s="81" t="s">
        <v>112</v>
      </c>
      <c r="H825" s="81"/>
    </row>
    <row r="826" customFormat="false" ht="15" hidden="false" customHeight="false" outlineLevel="0" collapsed="false">
      <c r="A826" s="81" t="n">
        <v>825</v>
      </c>
      <c r="B826" s="81" t="s">
        <v>7</v>
      </c>
      <c r="C826" s="81" t="s">
        <v>3569</v>
      </c>
      <c r="D826" s="81" t="s">
        <v>3570</v>
      </c>
      <c r="E826" s="82" t="s">
        <v>3571</v>
      </c>
      <c r="F826" s="81" t="s">
        <v>3572</v>
      </c>
      <c r="G826" s="81" t="s">
        <v>112</v>
      </c>
      <c r="H826" s="81"/>
    </row>
    <row r="827" customFormat="false" ht="15" hidden="false" customHeight="false" outlineLevel="0" collapsed="false">
      <c r="A827" s="81" t="n">
        <v>826</v>
      </c>
      <c r="B827" s="81" t="s">
        <v>7</v>
      </c>
      <c r="C827" s="81" t="s">
        <v>3573</v>
      </c>
      <c r="D827" s="81" t="s">
        <v>3574</v>
      </c>
      <c r="E827" s="82" t="s">
        <v>3575</v>
      </c>
      <c r="F827" s="81" t="s">
        <v>3576</v>
      </c>
      <c r="G827" s="81" t="s">
        <v>112</v>
      </c>
      <c r="H827" s="81"/>
    </row>
    <row r="828" customFormat="false" ht="15" hidden="false" customHeight="false" outlineLevel="0" collapsed="false">
      <c r="A828" s="81" t="n">
        <v>827</v>
      </c>
      <c r="B828" s="81" t="s">
        <v>7</v>
      </c>
      <c r="C828" s="81" t="s">
        <v>3577</v>
      </c>
      <c r="D828" s="81" t="s">
        <v>3578</v>
      </c>
      <c r="E828" s="82" t="s">
        <v>3579</v>
      </c>
      <c r="F828" s="81" t="s">
        <v>3580</v>
      </c>
      <c r="G828" s="81" t="s">
        <v>112</v>
      </c>
      <c r="H828" s="81" t="s">
        <v>845</v>
      </c>
    </row>
    <row r="829" customFormat="false" ht="15" hidden="false" customHeight="false" outlineLevel="0" collapsed="false">
      <c r="A829" s="81" t="n">
        <v>828</v>
      </c>
      <c r="B829" s="81" t="s">
        <v>7</v>
      </c>
      <c r="C829" s="81" t="s">
        <v>3581</v>
      </c>
      <c r="D829" s="81" t="s">
        <v>3582</v>
      </c>
      <c r="E829" s="82" t="s">
        <v>3583</v>
      </c>
      <c r="F829" s="81" t="s">
        <v>3584</v>
      </c>
      <c r="G829" s="81" t="s">
        <v>112</v>
      </c>
      <c r="H829" s="81"/>
    </row>
    <row r="830" customFormat="false" ht="15" hidden="false" customHeight="false" outlineLevel="0" collapsed="false">
      <c r="A830" s="81" t="n">
        <v>829</v>
      </c>
      <c r="B830" s="81" t="s">
        <v>7</v>
      </c>
      <c r="C830" s="81" t="s">
        <v>3585</v>
      </c>
      <c r="D830" s="81" t="s">
        <v>3586</v>
      </c>
      <c r="E830" s="82" t="s">
        <v>3587</v>
      </c>
      <c r="F830" s="81" t="s">
        <v>3588</v>
      </c>
      <c r="G830" s="81" t="s">
        <v>112</v>
      </c>
      <c r="H830" s="81"/>
    </row>
    <row r="831" customFormat="false" ht="15" hidden="false" customHeight="false" outlineLevel="0" collapsed="false">
      <c r="A831" s="81" t="n">
        <v>830</v>
      </c>
      <c r="B831" s="81" t="s">
        <v>7</v>
      </c>
      <c r="C831" s="81" t="s">
        <v>3589</v>
      </c>
      <c r="D831" s="81" t="s">
        <v>3590</v>
      </c>
      <c r="E831" s="82" t="s">
        <v>3591</v>
      </c>
      <c r="F831" s="81" t="s">
        <v>3592</v>
      </c>
      <c r="G831" s="81" t="s">
        <v>112</v>
      </c>
      <c r="H831" s="81"/>
    </row>
    <row r="832" customFormat="false" ht="15" hidden="false" customHeight="false" outlineLevel="0" collapsed="false">
      <c r="A832" s="81" t="n">
        <v>831</v>
      </c>
      <c r="B832" s="81" t="s">
        <v>7</v>
      </c>
      <c r="C832" s="81" t="s">
        <v>3593</v>
      </c>
      <c r="D832" s="81" t="s">
        <v>3594</v>
      </c>
      <c r="E832" s="82" t="s">
        <v>3595</v>
      </c>
      <c r="F832" s="81" t="s">
        <v>3596</v>
      </c>
      <c r="G832" s="81" t="s">
        <v>112</v>
      </c>
      <c r="H832" s="81"/>
    </row>
    <row r="833" customFormat="false" ht="15" hidden="false" customHeight="false" outlineLevel="0" collapsed="false">
      <c r="A833" s="81" t="n">
        <v>832</v>
      </c>
      <c r="B833" s="81" t="s">
        <v>7</v>
      </c>
      <c r="C833" s="81" t="s">
        <v>3597</v>
      </c>
      <c r="D833" s="81" t="s">
        <v>3598</v>
      </c>
      <c r="E833" s="82" t="s">
        <v>3599</v>
      </c>
      <c r="F833" s="81" t="s">
        <v>3600</v>
      </c>
      <c r="G833" s="81" t="s">
        <v>112</v>
      </c>
      <c r="H833" s="81"/>
    </row>
    <row r="834" customFormat="false" ht="15" hidden="false" customHeight="false" outlineLevel="0" collapsed="false">
      <c r="A834" s="81" t="n">
        <v>833</v>
      </c>
      <c r="B834" s="81" t="s">
        <v>7</v>
      </c>
      <c r="C834" s="81" t="s">
        <v>3601</v>
      </c>
      <c r="D834" s="81" t="s">
        <v>3602</v>
      </c>
      <c r="E834" s="82" t="s">
        <v>3603</v>
      </c>
      <c r="F834" s="81" t="s">
        <v>3604</v>
      </c>
      <c r="G834" s="81" t="s">
        <v>112</v>
      </c>
      <c r="H834" s="81"/>
    </row>
    <row r="835" customFormat="false" ht="15" hidden="false" customHeight="false" outlineLevel="0" collapsed="false">
      <c r="A835" s="81" t="n">
        <v>834</v>
      </c>
      <c r="B835" s="81" t="s">
        <v>7</v>
      </c>
      <c r="C835" s="81" t="s">
        <v>3605</v>
      </c>
      <c r="D835" s="81" t="s">
        <v>3606</v>
      </c>
      <c r="E835" s="82" t="s">
        <v>3607</v>
      </c>
      <c r="F835" s="81" t="s">
        <v>3608</v>
      </c>
      <c r="G835" s="81" t="s">
        <v>114</v>
      </c>
      <c r="H835" s="81"/>
    </row>
    <row r="836" customFormat="false" ht="15" hidden="false" customHeight="false" outlineLevel="0" collapsed="false">
      <c r="A836" s="81" t="n">
        <v>835</v>
      </c>
      <c r="B836" s="81" t="s">
        <v>7</v>
      </c>
      <c r="C836" s="81" t="s">
        <v>3609</v>
      </c>
      <c r="D836" s="81" t="s">
        <v>3610</v>
      </c>
      <c r="E836" s="82" t="s">
        <v>3611</v>
      </c>
      <c r="F836" s="81" t="s">
        <v>3612</v>
      </c>
      <c r="G836" s="81" t="s">
        <v>114</v>
      </c>
      <c r="H836" s="81"/>
    </row>
    <row r="837" customFormat="false" ht="15" hidden="false" customHeight="false" outlineLevel="0" collapsed="false">
      <c r="A837" s="81" t="n">
        <v>836</v>
      </c>
      <c r="B837" s="81" t="s">
        <v>7</v>
      </c>
      <c r="C837" s="81" t="s">
        <v>3613</v>
      </c>
      <c r="D837" s="81" t="s">
        <v>3614</v>
      </c>
      <c r="E837" s="82" t="s">
        <v>3615</v>
      </c>
      <c r="F837" s="81" t="s">
        <v>3616</v>
      </c>
      <c r="G837" s="81" t="s">
        <v>114</v>
      </c>
      <c r="H837" s="81"/>
    </row>
    <row r="838" customFormat="false" ht="15" hidden="false" customHeight="false" outlineLevel="0" collapsed="false">
      <c r="A838" s="81" t="n">
        <v>837</v>
      </c>
      <c r="B838" s="81" t="s">
        <v>7</v>
      </c>
      <c r="C838" s="81" t="s">
        <v>3617</v>
      </c>
      <c r="D838" s="81" t="s">
        <v>3618</v>
      </c>
      <c r="E838" s="82" t="s">
        <v>3619</v>
      </c>
      <c r="F838" s="81" t="s">
        <v>3620</v>
      </c>
      <c r="G838" s="81" t="s">
        <v>114</v>
      </c>
      <c r="H838" s="81"/>
    </row>
    <row r="839" customFormat="false" ht="15" hidden="false" customHeight="false" outlineLevel="0" collapsed="false">
      <c r="A839" s="81" t="n">
        <v>838</v>
      </c>
      <c r="B839" s="81" t="s">
        <v>7</v>
      </c>
      <c r="C839" s="81" t="s">
        <v>3621</v>
      </c>
      <c r="D839" s="81" t="s">
        <v>3621</v>
      </c>
      <c r="E839" s="82" t="s">
        <v>3622</v>
      </c>
      <c r="F839" s="81" t="s">
        <v>3623</v>
      </c>
      <c r="G839" s="81" t="s">
        <v>114</v>
      </c>
      <c r="H839" s="81"/>
    </row>
    <row r="840" customFormat="false" ht="15" hidden="false" customHeight="false" outlineLevel="0" collapsed="false">
      <c r="A840" s="81" t="n">
        <v>839</v>
      </c>
      <c r="B840" s="81" t="s">
        <v>7</v>
      </c>
      <c r="C840" s="81" t="s">
        <v>3624</v>
      </c>
      <c r="D840" s="81" t="s">
        <v>3625</v>
      </c>
      <c r="E840" s="82" t="s">
        <v>961</v>
      </c>
      <c r="F840" s="81" t="s">
        <v>962</v>
      </c>
      <c r="G840" s="81" t="s">
        <v>114</v>
      </c>
      <c r="H840" s="81"/>
    </row>
    <row r="841" customFormat="false" ht="15" hidden="false" customHeight="false" outlineLevel="0" collapsed="false">
      <c r="A841" s="81" t="n">
        <v>840</v>
      </c>
      <c r="B841" s="81" t="s">
        <v>7</v>
      </c>
      <c r="C841" s="81" t="s">
        <v>3626</v>
      </c>
      <c r="D841" s="81" t="s">
        <v>3627</v>
      </c>
      <c r="E841" s="82" t="s">
        <v>3628</v>
      </c>
      <c r="F841" s="81" t="s">
        <v>3629</v>
      </c>
      <c r="G841" s="81" t="s">
        <v>114</v>
      </c>
      <c r="H841" s="81"/>
    </row>
    <row r="842" customFormat="false" ht="15" hidden="false" customHeight="false" outlineLevel="0" collapsed="false">
      <c r="A842" s="81" t="n">
        <v>841</v>
      </c>
      <c r="B842" s="81" t="s">
        <v>7</v>
      </c>
      <c r="C842" s="81" t="s">
        <v>3630</v>
      </c>
      <c r="D842" s="81" t="s">
        <v>3631</v>
      </c>
      <c r="E842" s="82" t="s">
        <v>3632</v>
      </c>
      <c r="F842" s="81" t="s">
        <v>3633</v>
      </c>
      <c r="G842" s="81" t="s">
        <v>114</v>
      </c>
      <c r="H842" s="81"/>
    </row>
    <row r="843" customFormat="false" ht="15" hidden="false" customHeight="false" outlineLevel="0" collapsed="false">
      <c r="A843" s="81" t="n">
        <v>842</v>
      </c>
      <c r="B843" s="81" t="s">
        <v>7</v>
      </c>
      <c r="C843" s="81" t="s">
        <v>3634</v>
      </c>
      <c r="D843" s="81" t="s">
        <v>3634</v>
      </c>
      <c r="E843" s="82" t="s">
        <v>3635</v>
      </c>
      <c r="F843" s="81" t="s">
        <v>3636</v>
      </c>
      <c r="G843" s="81" t="s">
        <v>114</v>
      </c>
      <c r="H843" s="81"/>
    </row>
    <row r="844" customFormat="false" ht="15" hidden="false" customHeight="false" outlineLevel="0" collapsed="false">
      <c r="A844" s="81" t="n">
        <v>843</v>
      </c>
      <c r="B844" s="81" t="s">
        <v>7</v>
      </c>
      <c r="C844" s="81" t="s">
        <v>3637</v>
      </c>
      <c r="D844" s="81" t="s">
        <v>3638</v>
      </c>
      <c r="E844" s="82" t="s">
        <v>3639</v>
      </c>
      <c r="F844" s="81" t="s">
        <v>3640</v>
      </c>
      <c r="G844" s="81" t="s">
        <v>114</v>
      </c>
      <c r="H844" s="81"/>
    </row>
    <row r="845" customFormat="false" ht="15" hidden="false" customHeight="false" outlineLevel="0" collapsed="false">
      <c r="A845" s="81" t="n">
        <v>844</v>
      </c>
      <c r="B845" s="81" t="s">
        <v>7</v>
      </c>
      <c r="C845" s="81" t="s">
        <v>3641</v>
      </c>
      <c r="D845" s="81" t="s">
        <v>3642</v>
      </c>
      <c r="E845" s="82" t="s">
        <v>3643</v>
      </c>
      <c r="F845" s="81" t="s">
        <v>3644</v>
      </c>
      <c r="G845" s="81" t="s">
        <v>114</v>
      </c>
      <c r="H845" s="81"/>
    </row>
    <row r="846" customFormat="false" ht="15" hidden="false" customHeight="false" outlineLevel="0" collapsed="false">
      <c r="A846" s="81" t="n">
        <v>845</v>
      </c>
      <c r="B846" s="81" t="s">
        <v>7</v>
      </c>
      <c r="C846" s="81" t="s">
        <v>3645</v>
      </c>
      <c r="D846" s="81" t="s">
        <v>3646</v>
      </c>
      <c r="E846" s="82" t="s">
        <v>3647</v>
      </c>
      <c r="F846" s="81" t="s">
        <v>3648</v>
      </c>
      <c r="G846" s="81" t="s">
        <v>114</v>
      </c>
      <c r="H846" s="81"/>
    </row>
    <row r="847" customFormat="false" ht="15" hidden="false" customHeight="false" outlineLevel="0" collapsed="false">
      <c r="A847" s="81" t="n">
        <v>846</v>
      </c>
      <c r="B847" s="81" t="s">
        <v>7</v>
      </c>
      <c r="C847" s="81" t="s">
        <v>3649</v>
      </c>
      <c r="D847" s="81" t="s">
        <v>3650</v>
      </c>
      <c r="E847" s="82" t="s">
        <v>3651</v>
      </c>
      <c r="F847" s="81" t="s">
        <v>3652</v>
      </c>
      <c r="G847" s="81" t="s">
        <v>114</v>
      </c>
      <c r="H847" s="81" t="s">
        <v>3653</v>
      </c>
    </row>
    <row r="848" customFormat="false" ht="15" hidden="false" customHeight="false" outlineLevel="0" collapsed="false">
      <c r="A848" s="81" t="n">
        <v>847</v>
      </c>
      <c r="B848" s="81" t="s">
        <v>7</v>
      </c>
      <c r="C848" s="81" t="s">
        <v>3654</v>
      </c>
      <c r="D848" s="81" t="s">
        <v>3655</v>
      </c>
      <c r="E848" s="82" t="s">
        <v>3656</v>
      </c>
      <c r="F848" s="81" t="s">
        <v>3657</v>
      </c>
      <c r="G848" s="81" t="s">
        <v>114</v>
      </c>
      <c r="H848" s="81" t="s">
        <v>3658</v>
      </c>
    </row>
    <row r="849" customFormat="false" ht="15" hidden="false" customHeight="false" outlineLevel="0" collapsed="false">
      <c r="A849" s="81" t="n">
        <v>848</v>
      </c>
      <c r="B849" s="81" t="s">
        <v>7</v>
      </c>
      <c r="C849" s="81" t="s">
        <v>3659</v>
      </c>
      <c r="D849" s="81" t="s">
        <v>3660</v>
      </c>
      <c r="E849" s="82" t="s">
        <v>3661</v>
      </c>
      <c r="F849" s="81" t="s">
        <v>3662</v>
      </c>
      <c r="G849" s="81" t="s">
        <v>114</v>
      </c>
      <c r="H849" s="81"/>
    </row>
    <row r="850" customFormat="false" ht="15" hidden="false" customHeight="false" outlineLevel="0" collapsed="false">
      <c r="A850" s="81" t="n">
        <v>849</v>
      </c>
      <c r="B850" s="81" t="s">
        <v>7</v>
      </c>
      <c r="C850" s="81" t="s">
        <v>3663</v>
      </c>
      <c r="D850" s="81" t="s">
        <v>3664</v>
      </c>
      <c r="E850" s="82" t="s">
        <v>3665</v>
      </c>
      <c r="F850" s="81" t="s">
        <v>3666</v>
      </c>
      <c r="G850" s="81" t="s">
        <v>114</v>
      </c>
      <c r="H850" s="81" t="s">
        <v>3667</v>
      </c>
    </row>
    <row r="851" customFormat="false" ht="15" hidden="false" customHeight="false" outlineLevel="0" collapsed="false">
      <c r="A851" s="81" t="n">
        <v>850</v>
      </c>
      <c r="B851" s="81" t="s">
        <v>7</v>
      </c>
      <c r="C851" s="81" t="s">
        <v>3668</v>
      </c>
      <c r="D851" s="81" t="s">
        <v>3669</v>
      </c>
      <c r="E851" s="82" t="s">
        <v>3670</v>
      </c>
      <c r="F851" s="81" t="s">
        <v>3671</v>
      </c>
      <c r="G851" s="81" t="s">
        <v>114</v>
      </c>
      <c r="H851" s="81" t="s">
        <v>3672</v>
      </c>
    </row>
    <row r="852" customFormat="false" ht="15" hidden="false" customHeight="false" outlineLevel="0" collapsed="false">
      <c r="A852" s="81" t="n">
        <v>851</v>
      </c>
      <c r="B852" s="81" t="s">
        <v>7</v>
      </c>
      <c r="C852" s="81" t="s">
        <v>3673</v>
      </c>
      <c r="D852" s="81" t="s">
        <v>3674</v>
      </c>
      <c r="E852" s="82" t="s">
        <v>3675</v>
      </c>
      <c r="F852" s="81" t="s">
        <v>3676</v>
      </c>
      <c r="G852" s="81" t="s">
        <v>114</v>
      </c>
      <c r="H852" s="81"/>
    </row>
    <row r="853" customFormat="false" ht="15" hidden="false" customHeight="false" outlineLevel="0" collapsed="false">
      <c r="A853" s="81" t="n">
        <v>852</v>
      </c>
      <c r="B853" s="81" t="s">
        <v>7</v>
      </c>
      <c r="C853" s="81" t="s">
        <v>3331</v>
      </c>
      <c r="D853" s="81" t="s">
        <v>3677</v>
      </c>
      <c r="E853" s="82" t="s">
        <v>3678</v>
      </c>
      <c r="F853" s="81" t="s">
        <v>3679</v>
      </c>
      <c r="G853" s="81" t="s">
        <v>114</v>
      </c>
      <c r="H853" s="81"/>
    </row>
    <row r="854" customFormat="false" ht="15" hidden="false" customHeight="false" outlineLevel="0" collapsed="false">
      <c r="A854" s="81" t="n">
        <v>853</v>
      </c>
      <c r="B854" s="81" t="s">
        <v>7</v>
      </c>
      <c r="C854" s="81" t="s">
        <v>3680</v>
      </c>
      <c r="D854" s="81" t="s">
        <v>3681</v>
      </c>
      <c r="E854" s="82" t="s">
        <v>3682</v>
      </c>
      <c r="F854" s="81" t="s">
        <v>3683</v>
      </c>
      <c r="G854" s="81" t="s">
        <v>114</v>
      </c>
      <c r="H854" s="81"/>
    </row>
    <row r="855" customFormat="false" ht="15" hidden="false" customHeight="false" outlineLevel="0" collapsed="false">
      <c r="A855" s="81" t="n">
        <v>854</v>
      </c>
      <c r="B855" s="81" t="s">
        <v>7</v>
      </c>
      <c r="C855" s="81" t="s">
        <v>3684</v>
      </c>
      <c r="D855" s="81" t="s">
        <v>3685</v>
      </c>
      <c r="E855" s="82" t="s">
        <v>3686</v>
      </c>
      <c r="F855" s="81" t="s">
        <v>3687</v>
      </c>
      <c r="G855" s="81" t="s">
        <v>114</v>
      </c>
      <c r="H855" s="81"/>
    </row>
    <row r="856" customFormat="false" ht="15" hidden="false" customHeight="false" outlineLevel="0" collapsed="false">
      <c r="A856" s="81" t="n">
        <v>855</v>
      </c>
      <c r="B856" s="81" t="s">
        <v>7</v>
      </c>
      <c r="C856" s="81" t="s">
        <v>3688</v>
      </c>
      <c r="D856" s="81" t="s">
        <v>3689</v>
      </c>
      <c r="E856" s="82" t="s">
        <v>3690</v>
      </c>
      <c r="F856" s="81" t="s">
        <v>2775</v>
      </c>
      <c r="G856" s="81" t="s">
        <v>114</v>
      </c>
      <c r="H856" s="81"/>
    </row>
    <row r="857" customFormat="false" ht="15" hidden="false" customHeight="false" outlineLevel="0" collapsed="false">
      <c r="A857" s="81" t="n">
        <v>856</v>
      </c>
      <c r="B857" s="81" t="s">
        <v>7</v>
      </c>
      <c r="C857" s="81" t="s">
        <v>3691</v>
      </c>
      <c r="D857" s="81" t="s">
        <v>3692</v>
      </c>
      <c r="E857" s="82" t="s">
        <v>3693</v>
      </c>
      <c r="F857" s="81" t="s">
        <v>3694</v>
      </c>
      <c r="G857" s="81" t="s">
        <v>114</v>
      </c>
      <c r="H857" s="81"/>
    </row>
    <row r="858" customFormat="false" ht="15" hidden="false" customHeight="false" outlineLevel="0" collapsed="false">
      <c r="A858" s="81" t="n">
        <v>857</v>
      </c>
      <c r="B858" s="81" t="s">
        <v>7</v>
      </c>
      <c r="C858" s="81" t="s">
        <v>3695</v>
      </c>
      <c r="D858" s="81" t="s">
        <v>3696</v>
      </c>
      <c r="E858" s="82" t="s">
        <v>3697</v>
      </c>
      <c r="F858" s="81" t="s">
        <v>3698</v>
      </c>
      <c r="G858" s="81" t="s">
        <v>114</v>
      </c>
      <c r="H858" s="81"/>
    </row>
    <row r="859" customFormat="false" ht="15" hidden="false" customHeight="false" outlineLevel="0" collapsed="false">
      <c r="A859" s="81" t="n">
        <v>858</v>
      </c>
      <c r="B859" s="81" t="s">
        <v>7</v>
      </c>
      <c r="C859" s="81" t="s">
        <v>3699</v>
      </c>
      <c r="D859" s="81" t="s">
        <v>3700</v>
      </c>
      <c r="E859" s="82" t="s">
        <v>3701</v>
      </c>
      <c r="F859" s="81" t="s">
        <v>3702</v>
      </c>
      <c r="G859" s="81" t="s">
        <v>116</v>
      </c>
      <c r="H859" s="81"/>
    </row>
    <row r="860" customFormat="false" ht="15" hidden="false" customHeight="false" outlineLevel="0" collapsed="false">
      <c r="A860" s="81" t="n">
        <v>859</v>
      </c>
      <c r="B860" s="81" t="s">
        <v>7</v>
      </c>
      <c r="C860" s="81" t="s">
        <v>3703</v>
      </c>
      <c r="D860" s="81" t="s">
        <v>3704</v>
      </c>
      <c r="E860" s="82" t="s">
        <v>3705</v>
      </c>
      <c r="F860" s="81" t="s">
        <v>3706</v>
      </c>
      <c r="G860" s="81" t="s">
        <v>116</v>
      </c>
      <c r="H860" s="81"/>
    </row>
    <row r="861" customFormat="false" ht="15" hidden="false" customHeight="false" outlineLevel="0" collapsed="false">
      <c r="A861" s="81" t="n">
        <v>860</v>
      </c>
      <c r="B861" s="81" t="s">
        <v>7</v>
      </c>
      <c r="C861" s="81" t="s">
        <v>3707</v>
      </c>
      <c r="D861" s="81" t="s">
        <v>3708</v>
      </c>
      <c r="E861" s="82" t="s">
        <v>3709</v>
      </c>
      <c r="F861" s="81" t="s">
        <v>3710</v>
      </c>
      <c r="G861" s="81" t="s">
        <v>116</v>
      </c>
      <c r="H861" s="81" t="s">
        <v>3711</v>
      </c>
    </row>
    <row r="862" customFormat="false" ht="15" hidden="false" customHeight="false" outlineLevel="0" collapsed="false">
      <c r="A862" s="81" t="n">
        <v>861</v>
      </c>
      <c r="B862" s="81" t="s">
        <v>7</v>
      </c>
      <c r="C862" s="81" t="s">
        <v>3712</v>
      </c>
      <c r="D862" s="81" t="s">
        <v>3713</v>
      </c>
      <c r="E862" s="82" t="s">
        <v>3714</v>
      </c>
      <c r="F862" s="81" t="s">
        <v>3715</v>
      </c>
      <c r="G862" s="81" t="s">
        <v>116</v>
      </c>
      <c r="H862" s="81" t="s">
        <v>3716</v>
      </c>
    </row>
    <row r="863" customFormat="false" ht="15" hidden="false" customHeight="false" outlineLevel="0" collapsed="false">
      <c r="A863" s="81" t="n">
        <v>862</v>
      </c>
      <c r="B863" s="81" t="s">
        <v>7</v>
      </c>
      <c r="C863" s="81" t="s">
        <v>3717</v>
      </c>
      <c r="D863" s="81" t="s">
        <v>3718</v>
      </c>
      <c r="E863" s="82" t="s">
        <v>3719</v>
      </c>
      <c r="F863" s="81" t="s">
        <v>3720</v>
      </c>
      <c r="G863" s="81" t="s">
        <v>116</v>
      </c>
      <c r="H863" s="81"/>
    </row>
    <row r="864" customFormat="false" ht="15" hidden="false" customHeight="false" outlineLevel="0" collapsed="false">
      <c r="A864" s="81" t="n">
        <v>863</v>
      </c>
      <c r="B864" s="81" t="s">
        <v>7</v>
      </c>
      <c r="C864" s="81" t="s">
        <v>3654</v>
      </c>
      <c r="D864" s="81" t="s">
        <v>3721</v>
      </c>
      <c r="E864" s="82" t="s">
        <v>3722</v>
      </c>
      <c r="F864" s="81" t="s">
        <v>3723</v>
      </c>
      <c r="G864" s="81" t="s">
        <v>116</v>
      </c>
      <c r="H864" s="81" t="s">
        <v>845</v>
      </c>
    </row>
    <row r="865" customFormat="false" ht="15" hidden="false" customHeight="false" outlineLevel="0" collapsed="false">
      <c r="A865" s="81" t="n">
        <v>864</v>
      </c>
      <c r="B865" s="81" t="s">
        <v>7</v>
      </c>
      <c r="C865" s="81" t="s">
        <v>3724</v>
      </c>
      <c r="D865" s="81" t="s">
        <v>3725</v>
      </c>
      <c r="E865" s="82" t="s">
        <v>3726</v>
      </c>
      <c r="F865" s="81" t="s">
        <v>3727</v>
      </c>
      <c r="G865" s="81" t="s">
        <v>116</v>
      </c>
      <c r="H865" s="81"/>
    </row>
    <row r="866" customFormat="false" ht="15" hidden="false" customHeight="false" outlineLevel="0" collapsed="false">
      <c r="A866" s="81" t="n">
        <v>865</v>
      </c>
      <c r="B866" s="81" t="s">
        <v>7</v>
      </c>
      <c r="C866" s="81" t="s">
        <v>3728</v>
      </c>
      <c r="D866" s="81" t="s">
        <v>3729</v>
      </c>
      <c r="E866" s="82" t="s">
        <v>3730</v>
      </c>
      <c r="F866" s="81" t="s">
        <v>3731</v>
      </c>
      <c r="G866" s="81" t="s">
        <v>116</v>
      </c>
      <c r="H866" s="81" t="s">
        <v>3732</v>
      </c>
    </row>
    <row r="867" customFormat="false" ht="15" hidden="false" customHeight="false" outlineLevel="0" collapsed="false">
      <c r="A867" s="81" t="n">
        <v>866</v>
      </c>
      <c r="B867" s="81" t="s">
        <v>7</v>
      </c>
      <c r="C867" s="81" t="s">
        <v>3733</v>
      </c>
      <c r="D867" s="81" t="s">
        <v>3734</v>
      </c>
      <c r="E867" s="82" t="s">
        <v>3735</v>
      </c>
      <c r="F867" s="81" t="s">
        <v>3736</v>
      </c>
      <c r="G867" s="81" t="s">
        <v>116</v>
      </c>
      <c r="H867" s="81"/>
    </row>
    <row r="868" customFormat="false" ht="15" hidden="false" customHeight="false" outlineLevel="0" collapsed="false">
      <c r="A868" s="81" t="n">
        <v>867</v>
      </c>
      <c r="B868" s="81" t="s">
        <v>7</v>
      </c>
      <c r="C868" s="81" t="s">
        <v>3737</v>
      </c>
      <c r="D868" s="81" t="s">
        <v>3738</v>
      </c>
      <c r="E868" s="82" t="s">
        <v>3739</v>
      </c>
      <c r="F868" s="81" t="s">
        <v>3740</v>
      </c>
      <c r="G868" s="81" t="s">
        <v>116</v>
      </c>
      <c r="H868" s="81"/>
    </row>
    <row r="869" customFormat="false" ht="15" hidden="false" customHeight="false" outlineLevel="0" collapsed="false">
      <c r="A869" s="81" t="n">
        <v>868</v>
      </c>
      <c r="B869" s="81" t="s">
        <v>7</v>
      </c>
      <c r="C869" s="81" t="s">
        <v>3741</v>
      </c>
      <c r="D869" s="81" t="s">
        <v>3742</v>
      </c>
      <c r="E869" s="82" t="s">
        <v>3743</v>
      </c>
      <c r="F869" s="81" t="s">
        <v>3744</v>
      </c>
      <c r="G869" s="81" t="s">
        <v>116</v>
      </c>
      <c r="H869" s="81" t="s">
        <v>845</v>
      </c>
    </row>
    <row r="870" customFormat="false" ht="15" hidden="false" customHeight="false" outlineLevel="0" collapsed="false">
      <c r="A870" s="81" t="n">
        <v>869</v>
      </c>
      <c r="B870" s="81" t="s">
        <v>7</v>
      </c>
      <c r="C870" s="81" t="s">
        <v>3745</v>
      </c>
      <c r="D870" s="81" t="s">
        <v>3746</v>
      </c>
      <c r="E870" s="82" t="s">
        <v>3747</v>
      </c>
      <c r="F870" s="81" t="s">
        <v>3748</v>
      </c>
      <c r="G870" s="81" t="s">
        <v>116</v>
      </c>
      <c r="H870" s="81" t="s">
        <v>3749</v>
      </c>
    </row>
    <row r="871" customFormat="false" ht="15" hidden="false" customHeight="false" outlineLevel="0" collapsed="false">
      <c r="A871" s="81" t="n">
        <v>870</v>
      </c>
      <c r="B871" s="81" t="s">
        <v>7</v>
      </c>
      <c r="C871" s="81" t="s">
        <v>3750</v>
      </c>
      <c r="D871" s="81" t="s">
        <v>3751</v>
      </c>
      <c r="E871" s="82" t="s">
        <v>3752</v>
      </c>
      <c r="F871" s="81" t="s">
        <v>3753</v>
      </c>
      <c r="G871" s="81" t="s">
        <v>116</v>
      </c>
      <c r="H871" s="81" t="s">
        <v>845</v>
      </c>
    </row>
    <row r="872" customFormat="false" ht="15" hidden="false" customHeight="false" outlineLevel="0" collapsed="false">
      <c r="A872" s="81" t="n">
        <v>871</v>
      </c>
      <c r="B872" s="81" t="s">
        <v>7</v>
      </c>
      <c r="C872" s="81" t="s">
        <v>3754</v>
      </c>
      <c r="D872" s="81" t="s">
        <v>3755</v>
      </c>
      <c r="E872" s="82" t="s">
        <v>3756</v>
      </c>
      <c r="F872" s="81" t="s">
        <v>3757</v>
      </c>
      <c r="G872" s="81" t="s">
        <v>116</v>
      </c>
      <c r="H872" s="81"/>
    </row>
    <row r="873" customFormat="false" ht="15" hidden="false" customHeight="false" outlineLevel="0" collapsed="false">
      <c r="A873" s="81" t="n">
        <v>872</v>
      </c>
      <c r="B873" s="81" t="s">
        <v>7</v>
      </c>
      <c r="C873" s="81" t="s">
        <v>3758</v>
      </c>
      <c r="D873" s="81" t="s">
        <v>3759</v>
      </c>
      <c r="E873" s="82" t="s">
        <v>3760</v>
      </c>
      <c r="F873" s="81" t="s">
        <v>3761</v>
      </c>
      <c r="G873" s="81" t="s">
        <v>116</v>
      </c>
      <c r="H873" s="81"/>
    </row>
    <row r="874" customFormat="false" ht="15" hidden="false" customHeight="false" outlineLevel="0" collapsed="false">
      <c r="A874" s="81" t="n">
        <v>873</v>
      </c>
      <c r="B874" s="81" t="s">
        <v>7</v>
      </c>
      <c r="C874" s="81" t="s">
        <v>3762</v>
      </c>
      <c r="D874" s="81" t="s">
        <v>3763</v>
      </c>
      <c r="E874" s="82" t="s">
        <v>3764</v>
      </c>
      <c r="F874" s="81" t="s">
        <v>3765</v>
      </c>
      <c r="G874" s="81" t="s">
        <v>116</v>
      </c>
      <c r="H874" s="81" t="s">
        <v>3766</v>
      </c>
    </row>
    <row r="875" customFormat="false" ht="15" hidden="false" customHeight="false" outlineLevel="0" collapsed="false">
      <c r="A875" s="81" t="n">
        <v>874</v>
      </c>
      <c r="B875" s="81" t="s">
        <v>7</v>
      </c>
      <c r="C875" s="81" t="s">
        <v>3767</v>
      </c>
      <c r="D875" s="81" t="s">
        <v>3768</v>
      </c>
      <c r="E875" s="82" t="s">
        <v>3769</v>
      </c>
      <c r="F875" s="81" t="s">
        <v>3770</v>
      </c>
      <c r="G875" s="81" t="s">
        <v>116</v>
      </c>
      <c r="H875" s="81" t="s">
        <v>3771</v>
      </c>
    </row>
    <row r="876" customFormat="false" ht="15" hidden="false" customHeight="false" outlineLevel="0" collapsed="false">
      <c r="A876" s="81" t="n">
        <v>875</v>
      </c>
      <c r="B876" s="81" t="s">
        <v>7</v>
      </c>
      <c r="C876" s="81" t="s">
        <v>3772</v>
      </c>
      <c r="D876" s="81" t="s">
        <v>3773</v>
      </c>
      <c r="E876" s="82" t="s">
        <v>3774</v>
      </c>
      <c r="F876" s="81" t="s">
        <v>3775</v>
      </c>
      <c r="G876" s="81" t="s">
        <v>116</v>
      </c>
      <c r="H876" s="81" t="s">
        <v>3776</v>
      </c>
    </row>
    <row r="877" customFormat="false" ht="15" hidden="false" customHeight="false" outlineLevel="0" collapsed="false">
      <c r="A877" s="81" t="n">
        <v>876</v>
      </c>
      <c r="B877" s="81" t="s">
        <v>7</v>
      </c>
      <c r="C877" s="81" t="s">
        <v>3777</v>
      </c>
      <c r="D877" s="81" t="s">
        <v>3778</v>
      </c>
      <c r="E877" s="82" t="s">
        <v>3779</v>
      </c>
      <c r="F877" s="81" t="s">
        <v>3780</v>
      </c>
      <c r="G877" s="81" t="s">
        <v>116</v>
      </c>
      <c r="H877" s="81" t="s">
        <v>3781</v>
      </c>
    </row>
    <row r="878" customFormat="false" ht="15" hidden="false" customHeight="false" outlineLevel="0" collapsed="false">
      <c r="A878" s="81" t="n">
        <v>877</v>
      </c>
      <c r="B878" s="81" t="s">
        <v>7</v>
      </c>
      <c r="C878" s="81" t="s">
        <v>3782</v>
      </c>
      <c r="D878" s="81" t="s">
        <v>3783</v>
      </c>
      <c r="E878" s="82" t="s">
        <v>3784</v>
      </c>
      <c r="F878" s="81" t="s">
        <v>3785</v>
      </c>
      <c r="G878" s="81" t="s">
        <v>116</v>
      </c>
      <c r="H878" s="81"/>
    </row>
    <row r="879" customFormat="false" ht="15" hidden="false" customHeight="false" outlineLevel="0" collapsed="false">
      <c r="A879" s="81" t="n">
        <v>878</v>
      </c>
      <c r="B879" s="81" t="s">
        <v>7</v>
      </c>
      <c r="C879" s="81" t="s">
        <v>3786</v>
      </c>
      <c r="D879" s="81" t="s">
        <v>3787</v>
      </c>
      <c r="E879" s="82" t="s">
        <v>3788</v>
      </c>
      <c r="F879" s="81" t="s">
        <v>3789</v>
      </c>
      <c r="G879" s="81" t="s">
        <v>118</v>
      </c>
      <c r="H879" s="81" t="s">
        <v>3790</v>
      </c>
    </row>
    <row r="880" customFormat="false" ht="15" hidden="false" customHeight="false" outlineLevel="0" collapsed="false">
      <c r="A880" s="81" t="n">
        <v>879</v>
      </c>
      <c r="B880" s="81" t="s">
        <v>7</v>
      </c>
      <c r="C880" s="81" t="s">
        <v>2658</v>
      </c>
      <c r="D880" s="81" t="s">
        <v>3791</v>
      </c>
      <c r="E880" s="82" t="s">
        <v>2660</v>
      </c>
      <c r="F880" s="81" t="s">
        <v>2661</v>
      </c>
      <c r="G880" s="81" t="s">
        <v>118</v>
      </c>
      <c r="H880" s="81" t="s">
        <v>845</v>
      </c>
    </row>
    <row r="881" customFormat="false" ht="15" hidden="false" customHeight="false" outlineLevel="0" collapsed="false">
      <c r="A881" s="81" t="n">
        <v>880</v>
      </c>
      <c r="B881" s="81" t="s">
        <v>7</v>
      </c>
      <c r="C881" s="81" t="s">
        <v>3792</v>
      </c>
      <c r="D881" s="81" t="s">
        <v>3793</v>
      </c>
      <c r="E881" s="82" t="s">
        <v>3794</v>
      </c>
      <c r="F881" s="81" t="s">
        <v>3795</v>
      </c>
      <c r="G881" s="81" t="s">
        <v>118</v>
      </c>
      <c r="H881" s="81"/>
    </row>
    <row r="882" customFormat="false" ht="15" hidden="false" customHeight="false" outlineLevel="0" collapsed="false">
      <c r="A882" s="81" t="n">
        <v>881</v>
      </c>
      <c r="B882" s="81" t="s">
        <v>7</v>
      </c>
      <c r="C882" s="81" t="s">
        <v>3796</v>
      </c>
      <c r="D882" s="81" t="s">
        <v>3797</v>
      </c>
      <c r="E882" s="82" t="s">
        <v>3798</v>
      </c>
      <c r="F882" s="81" t="s">
        <v>3799</v>
      </c>
      <c r="G882" s="81" t="s">
        <v>118</v>
      </c>
      <c r="H882" s="81"/>
    </row>
    <row r="883" customFormat="false" ht="15" hidden="false" customHeight="false" outlineLevel="0" collapsed="false">
      <c r="A883" s="81" t="n">
        <v>882</v>
      </c>
      <c r="B883" s="81" t="s">
        <v>7</v>
      </c>
      <c r="C883" s="81" t="s">
        <v>3800</v>
      </c>
      <c r="D883" s="81" t="s">
        <v>3801</v>
      </c>
      <c r="E883" s="82" t="s">
        <v>3802</v>
      </c>
      <c r="F883" s="81" t="s">
        <v>3803</v>
      </c>
      <c r="G883" s="81" t="s">
        <v>118</v>
      </c>
      <c r="H883" s="81" t="s">
        <v>3804</v>
      </c>
    </row>
    <row r="884" customFormat="false" ht="15" hidden="false" customHeight="false" outlineLevel="0" collapsed="false">
      <c r="A884" s="81" t="n">
        <v>883</v>
      </c>
      <c r="B884" s="81" t="s">
        <v>7</v>
      </c>
      <c r="C884" s="81" t="s">
        <v>3805</v>
      </c>
      <c r="D884" s="81" t="s">
        <v>3806</v>
      </c>
      <c r="E884" s="82" t="s">
        <v>3807</v>
      </c>
      <c r="F884" s="81" t="s">
        <v>3808</v>
      </c>
      <c r="G884" s="81" t="s">
        <v>118</v>
      </c>
      <c r="H884" s="81"/>
    </row>
    <row r="885" customFormat="false" ht="15" hidden="false" customHeight="false" outlineLevel="0" collapsed="false">
      <c r="A885" s="81" t="n">
        <v>884</v>
      </c>
      <c r="B885" s="81" t="s">
        <v>7</v>
      </c>
      <c r="C885" s="81" t="s">
        <v>3809</v>
      </c>
      <c r="D885" s="81" t="s">
        <v>3810</v>
      </c>
      <c r="E885" s="82" t="s">
        <v>3811</v>
      </c>
      <c r="F885" s="81" t="s">
        <v>3812</v>
      </c>
      <c r="G885" s="81" t="s">
        <v>118</v>
      </c>
      <c r="H885" s="81" t="s">
        <v>3813</v>
      </c>
    </row>
    <row r="886" customFormat="false" ht="15" hidden="false" customHeight="false" outlineLevel="0" collapsed="false">
      <c r="A886" s="81" t="n">
        <v>885</v>
      </c>
      <c r="B886" s="81" t="s">
        <v>7</v>
      </c>
      <c r="C886" s="81" t="s">
        <v>3814</v>
      </c>
      <c r="D886" s="81" t="s">
        <v>3815</v>
      </c>
      <c r="E886" s="82" t="s">
        <v>3816</v>
      </c>
      <c r="F886" s="81" t="s">
        <v>3817</v>
      </c>
      <c r="G886" s="81" t="s">
        <v>118</v>
      </c>
      <c r="H886" s="81"/>
    </row>
    <row r="887" customFormat="false" ht="15" hidden="false" customHeight="false" outlineLevel="0" collapsed="false">
      <c r="A887" s="81" t="n">
        <v>886</v>
      </c>
      <c r="B887" s="81" t="s">
        <v>7</v>
      </c>
      <c r="C887" s="81" t="s">
        <v>3818</v>
      </c>
      <c r="D887" s="81" t="s">
        <v>3819</v>
      </c>
      <c r="E887" s="82" t="s">
        <v>3820</v>
      </c>
      <c r="F887" s="81" t="s">
        <v>3821</v>
      </c>
      <c r="G887" s="81" t="s">
        <v>118</v>
      </c>
      <c r="H887" s="81" t="s">
        <v>3822</v>
      </c>
    </row>
    <row r="888" customFormat="false" ht="15" hidden="false" customHeight="false" outlineLevel="0" collapsed="false">
      <c r="A888" s="81" t="n">
        <v>887</v>
      </c>
      <c r="B888" s="81" t="s">
        <v>7</v>
      </c>
      <c r="C888" s="81" t="s">
        <v>3823</v>
      </c>
      <c r="D888" s="81" t="s">
        <v>3824</v>
      </c>
      <c r="E888" s="82" t="s">
        <v>3825</v>
      </c>
      <c r="F888" s="81" t="s">
        <v>3826</v>
      </c>
      <c r="G888" s="81" t="s">
        <v>118</v>
      </c>
      <c r="H888" s="81"/>
    </row>
    <row r="889" customFormat="false" ht="15" hidden="false" customHeight="false" outlineLevel="0" collapsed="false">
      <c r="A889" s="81" t="n">
        <v>888</v>
      </c>
      <c r="B889" s="81" t="s">
        <v>7</v>
      </c>
      <c r="C889" s="81" t="s">
        <v>3827</v>
      </c>
      <c r="D889" s="81" t="s">
        <v>3828</v>
      </c>
      <c r="E889" s="82" t="s">
        <v>3829</v>
      </c>
      <c r="F889" s="81" t="s">
        <v>3830</v>
      </c>
      <c r="G889" s="81" t="s">
        <v>118</v>
      </c>
      <c r="H889" s="81"/>
    </row>
    <row r="890" customFormat="false" ht="15" hidden="false" customHeight="false" outlineLevel="0" collapsed="false">
      <c r="A890" s="81" t="n">
        <v>889</v>
      </c>
      <c r="B890" s="81" t="s">
        <v>7</v>
      </c>
      <c r="C890" s="81" t="s">
        <v>3831</v>
      </c>
      <c r="D890" s="81" t="s">
        <v>3832</v>
      </c>
      <c r="E890" s="82" t="s">
        <v>3833</v>
      </c>
      <c r="F890" s="81" t="s">
        <v>3834</v>
      </c>
      <c r="G890" s="81" t="s">
        <v>118</v>
      </c>
      <c r="H890" s="81"/>
    </row>
    <row r="891" customFormat="false" ht="15" hidden="false" customHeight="false" outlineLevel="0" collapsed="false">
      <c r="A891" s="81" t="n">
        <v>890</v>
      </c>
      <c r="B891" s="81" t="s">
        <v>7</v>
      </c>
      <c r="C891" s="81" t="s">
        <v>3835</v>
      </c>
      <c r="D891" s="81" t="s">
        <v>3836</v>
      </c>
      <c r="E891" s="82" t="s">
        <v>3837</v>
      </c>
      <c r="F891" s="81" t="s">
        <v>3838</v>
      </c>
      <c r="G891" s="81" t="s">
        <v>118</v>
      </c>
      <c r="H891" s="81"/>
    </row>
    <row r="892" customFormat="false" ht="15" hidden="false" customHeight="false" outlineLevel="0" collapsed="false">
      <c r="A892" s="81" t="n">
        <v>891</v>
      </c>
      <c r="B892" s="81" t="s">
        <v>7</v>
      </c>
      <c r="C892" s="81" t="s">
        <v>3839</v>
      </c>
      <c r="D892" s="81" t="s">
        <v>3840</v>
      </c>
      <c r="E892" s="82" t="s">
        <v>3841</v>
      </c>
      <c r="F892" s="81" t="s">
        <v>3842</v>
      </c>
      <c r="G892" s="81" t="s">
        <v>118</v>
      </c>
      <c r="H892" s="81"/>
    </row>
    <row r="893" customFormat="false" ht="15" hidden="false" customHeight="false" outlineLevel="0" collapsed="false">
      <c r="A893" s="81" t="n">
        <v>892</v>
      </c>
      <c r="B893" s="81" t="s">
        <v>7</v>
      </c>
      <c r="C893" s="81" t="s">
        <v>3843</v>
      </c>
      <c r="D893" s="81" t="s">
        <v>3844</v>
      </c>
      <c r="E893" s="82" t="s">
        <v>3845</v>
      </c>
      <c r="F893" s="81" t="s">
        <v>3846</v>
      </c>
      <c r="G893" s="81" t="s">
        <v>118</v>
      </c>
      <c r="H893" s="81"/>
    </row>
    <row r="894" customFormat="false" ht="15" hidden="false" customHeight="false" outlineLevel="0" collapsed="false">
      <c r="A894" s="81" t="n">
        <v>893</v>
      </c>
      <c r="B894" s="81" t="s">
        <v>7</v>
      </c>
      <c r="C894" s="81" t="s">
        <v>3847</v>
      </c>
      <c r="D894" s="81" t="s">
        <v>3848</v>
      </c>
      <c r="E894" s="82" t="s">
        <v>3849</v>
      </c>
      <c r="F894" s="81" t="s">
        <v>3850</v>
      </c>
      <c r="G894" s="81" t="s">
        <v>118</v>
      </c>
      <c r="H894" s="81"/>
    </row>
    <row r="895" customFormat="false" ht="15" hidden="false" customHeight="false" outlineLevel="0" collapsed="false">
      <c r="A895" s="81" t="n">
        <v>894</v>
      </c>
      <c r="B895" s="81" t="s">
        <v>7</v>
      </c>
      <c r="C895" s="81" t="s">
        <v>3851</v>
      </c>
      <c r="D895" s="81" t="s">
        <v>3852</v>
      </c>
      <c r="E895" s="82" t="s">
        <v>3853</v>
      </c>
      <c r="F895" s="81" t="s">
        <v>3854</v>
      </c>
      <c r="G895" s="81" t="s">
        <v>118</v>
      </c>
      <c r="H895" s="81"/>
    </row>
    <row r="896" customFormat="false" ht="15" hidden="false" customHeight="false" outlineLevel="0" collapsed="false">
      <c r="A896" s="81" t="n">
        <v>895</v>
      </c>
      <c r="B896" s="81" t="s">
        <v>7</v>
      </c>
      <c r="C896" s="81" t="s">
        <v>311</v>
      </c>
      <c r="D896" s="81" t="s">
        <v>3855</v>
      </c>
      <c r="E896" s="82" t="s">
        <v>3856</v>
      </c>
      <c r="F896" s="81" t="s">
        <v>3857</v>
      </c>
      <c r="G896" s="81" t="s">
        <v>118</v>
      </c>
      <c r="H896" s="81"/>
    </row>
    <row r="897" customFormat="false" ht="15" hidden="false" customHeight="false" outlineLevel="0" collapsed="false">
      <c r="A897" s="81" t="n">
        <v>896</v>
      </c>
      <c r="B897" s="81" t="s">
        <v>7</v>
      </c>
      <c r="C897" s="81" t="s">
        <v>3858</v>
      </c>
      <c r="D897" s="81" t="s">
        <v>3859</v>
      </c>
      <c r="E897" s="82" t="s">
        <v>3860</v>
      </c>
      <c r="F897" s="81" t="s">
        <v>3861</v>
      </c>
      <c r="G897" s="81" t="s">
        <v>118</v>
      </c>
      <c r="H897" s="81"/>
    </row>
    <row r="898" customFormat="false" ht="15" hidden="false" customHeight="false" outlineLevel="0" collapsed="false">
      <c r="A898" s="81" t="n">
        <v>897</v>
      </c>
      <c r="B898" s="81" t="s">
        <v>7</v>
      </c>
      <c r="C898" s="81" t="s">
        <v>3862</v>
      </c>
      <c r="D898" s="81" t="s">
        <v>3863</v>
      </c>
      <c r="E898" s="82" t="s">
        <v>3864</v>
      </c>
      <c r="F898" s="81" t="s">
        <v>3865</v>
      </c>
      <c r="G898" s="81" t="s">
        <v>118</v>
      </c>
      <c r="H898" s="81"/>
    </row>
    <row r="899" customFormat="false" ht="15" hidden="false" customHeight="false" outlineLevel="0" collapsed="false">
      <c r="A899" s="81" t="n">
        <v>898</v>
      </c>
      <c r="B899" s="81" t="s">
        <v>7</v>
      </c>
      <c r="C899" s="81" t="s">
        <v>3866</v>
      </c>
      <c r="D899" s="81" t="s">
        <v>3867</v>
      </c>
      <c r="E899" s="82" t="s">
        <v>3868</v>
      </c>
      <c r="F899" s="81" t="s">
        <v>3869</v>
      </c>
      <c r="G899" s="81" t="s">
        <v>118</v>
      </c>
      <c r="H899" s="81" t="s">
        <v>3870</v>
      </c>
    </row>
    <row r="900" customFormat="false" ht="15" hidden="false" customHeight="false" outlineLevel="0" collapsed="false">
      <c r="A900" s="81" t="n">
        <v>899</v>
      </c>
      <c r="B900" s="81" t="s">
        <v>7</v>
      </c>
      <c r="C900" s="81" t="s">
        <v>3871</v>
      </c>
      <c r="D900" s="81" t="s">
        <v>3872</v>
      </c>
      <c r="E900" s="82" t="s">
        <v>3873</v>
      </c>
      <c r="F900" s="81" t="s">
        <v>3874</v>
      </c>
      <c r="G900" s="81" t="s">
        <v>118</v>
      </c>
      <c r="H900" s="81" t="s">
        <v>3875</v>
      </c>
    </row>
    <row r="901" customFormat="false" ht="15" hidden="false" customHeight="false" outlineLevel="0" collapsed="false">
      <c r="A901" s="81" t="n">
        <v>900</v>
      </c>
      <c r="B901" s="81" t="s">
        <v>7</v>
      </c>
      <c r="C901" s="81" t="s">
        <v>3876</v>
      </c>
      <c r="D901" s="81" t="s">
        <v>3877</v>
      </c>
      <c r="E901" s="82" t="s">
        <v>3878</v>
      </c>
      <c r="F901" s="81" t="s">
        <v>3879</v>
      </c>
      <c r="G901" s="81" t="s">
        <v>118</v>
      </c>
      <c r="H901" s="81" t="s">
        <v>3880</v>
      </c>
    </row>
    <row r="902" customFormat="false" ht="15" hidden="false" customHeight="false" outlineLevel="0" collapsed="false">
      <c r="A902" s="81" t="n">
        <v>901</v>
      </c>
      <c r="B902" s="81" t="s">
        <v>7</v>
      </c>
      <c r="C902" s="81" t="s">
        <v>3881</v>
      </c>
      <c r="D902" s="81" t="s">
        <v>3882</v>
      </c>
      <c r="E902" s="82" t="s">
        <v>3883</v>
      </c>
      <c r="F902" s="81" t="s">
        <v>3884</v>
      </c>
      <c r="G902" s="81" t="s">
        <v>118</v>
      </c>
      <c r="H902" s="81" t="s">
        <v>3885</v>
      </c>
    </row>
    <row r="903" customFormat="false" ht="15" hidden="false" customHeight="false" outlineLevel="0" collapsed="false">
      <c r="A903" s="81" t="n">
        <v>902</v>
      </c>
      <c r="B903" s="81" t="s">
        <v>7</v>
      </c>
      <c r="C903" s="81" t="s">
        <v>3886</v>
      </c>
      <c r="D903" s="81" t="s">
        <v>3887</v>
      </c>
      <c r="E903" s="82" t="s">
        <v>3888</v>
      </c>
      <c r="F903" s="81" t="s">
        <v>3889</v>
      </c>
      <c r="G903" s="81" t="s">
        <v>120</v>
      </c>
      <c r="H903" s="81" t="s">
        <v>3890</v>
      </c>
    </row>
    <row r="904" customFormat="false" ht="15" hidden="false" customHeight="false" outlineLevel="0" collapsed="false">
      <c r="A904" s="81" t="n">
        <v>903</v>
      </c>
      <c r="B904" s="81" t="s">
        <v>7</v>
      </c>
      <c r="C904" s="81" t="s">
        <v>3891</v>
      </c>
      <c r="D904" s="81" t="s">
        <v>3892</v>
      </c>
      <c r="E904" s="82" t="s">
        <v>3893</v>
      </c>
      <c r="F904" s="81" t="s">
        <v>3894</v>
      </c>
      <c r="G904" s="81" t="s">
        <v>120</v>
      </c>
      <c r="H904" s="81" t="s">
        <v>845</v>
      </c>
    </row>
    <row r="905" customFormat="false" ht="15" hidden="false" customHeight="false" outlineLevel="0" collapsed="false">
      <c r="A905" s="81" t="n">
        <v>904</v>
      </c>
      <c r="B905" s="81" t="s">
        <v>7</v>
      </c>
      <c r="C905" s="81" t="s">
        <v>3895</v>
      </c>
      <c r="D905" s="81" t="s">
        <v>3896</v>
      </c>
      <c r="E905" s="82" t="s">
        <v>3897</v>
      </c>
      <c r="F905" s="81" t="s">
        <v>3898</v>
      </c>
      <c r="G905" s="81" t="s">
        <v>120</v>
      </c>
      <c r="H905" s="81"/>
    </row>
    <row r="906" customFormat="false" ht="15" hidden="false" customHeight="false" outlineLevel="0" collapsed="false">
      <c r="A906" s="81" t="n">
        <v>905</v>
      </c>
      <c r="B906" s="81" t="s">
        <v>7</v>
      </c>
      <c r="C906" s="81" t="s">
        <v>3899</v>
      </c>
      <c r="D906" s="81" t="s">
        <v>3900</v>
      </c>
      <c r="E906" s="82" t="s">
        <v>3901</v>
      </c>
      <c r="F906" s="81" t="s">
        <v>3902</v>
      </c>
      <c r="G906" s="81" t="s">
        <v>120</v>
      </c>
      <c r="H906" s="81" t="s">
        <v>845</v>
      </c>
    </row>
    <row r="907" customFormat="false" ht="15" hidden="false" customHeight="false" outlineLevel="0" collapsed="false">
      <c r="A907" s="81" t="n">
        <v>906</v>
      </c>
      <c r="B907" s="81" t="s">
        <v>7</v>
      </c>
      <c r="C907" s="81" t="s">
        <v>3903</v>
      </c>
      <c r="D907" s="81" t="s">
        <v>3904</v>
      </c>
      <c r="E907" s="82" t="s">
        <v>3905</v>
      </c>
      <c r="F907" s="81" t="s">
        <v>3906</v>
      </c>
      <c r="G907" s="81" t="s">
        <v>120</v>
      </c>
      <c r="H907" s="81" t="s">
        <v>3907</v>
      </c>
    </row>
    <row r="908" customFormat="false" ht="15" hidden="false" customHeight="false" outlineLevel="0" collapsed="false">
      <c r="A908" s="81" t="n">
        <v>907</v>
      </c>
      <c r="B908" s="81" t="s">
        <v>7</v>
      </c>
      <c r="C908" s="81" t="s">
        <v>3908</v>
      </c>
      <c r="D908" s="81" t="s">
        <v>3909</v>
      </c>
      <c r="E908" s="82" t="s">
        <v>3910</v>
      </c>
      <c r="F908" s="81" t="s">
        <v>3911</v>
      </c>
      <c r="G908" s="81" t="s">
        <v>120</v>
      </c>
      <c r="H908" s="81" t="s">
        <v>3912</v>
      </c>
    </row>
    <row r="909" customFormat="false" ht="15" hidden="false" customHeight="false" outlineLevel="0" collapsed="false">
      <c r="A909" s="81" t="n">
        <v>908</v>
      </c>
      <c r="B909" s="81" t="s">
        <v>7</v>
      </c>
      <c r="C909" s="81" t="s">
        <v>3913</v>
      </c>
      <c r="D909" s="81" t="s">
        <v>3914</v>
      </c>
      <c r="E909" s="82" t="s">
        <v>2280</v>
      </c>
      <c r="F909" s="81" t="s">
        <v>2281</v>
      </c>
      <c r="G909" s="81" t="s">
        <v>120</v>
      </c>
      <c r="H909" s="81"/>
    </row>
    <row r="910" customFormat="false" ht="15" hidden="false" customHeight="false" outlineLevel="0" collapsed="false">
      <c r="A910" s="81" t="n">
        <v>909</v>
      </c>
      <c r="B910" s="81" t="s">
        <v>7</v>
      </c>
      <c r="C910" s="81" t="s">
        <v>3915</v>
      </c>
      <c r="D910" s="81" t="s">
        <v>3916</v>
      </c>
      <c r="E910" s="82" t="s">
        <v>3917</v>
      </c>
      <c r="F910" s="81" t="s">
        <v>3918</v>
      </c>
      <c r="G910" s="81" t="s">
        <v>120</v>
      </c>
      <c r="H910" s="81"/>
    </row>
    <row r="911" customFormat="false" ht="15" hidden="false" customHeight="false" outlineLevel="0" collapsed="false">
      <c r="A911" s="81" t="n">
        <v>910</v>
      </c>
      <c r="B911" s="81" t="s">
        <v>7</v>
      </c>
      <c r="C911" s="81" t="s">
        <v>3919</v>
      </c>
      <c r="D911" s="81" t="s">
        <v>3920</v>
      </c>
      <c r="E911" s="82" t="s">
        <v>3921</v>
      </c>
      <c r="F911" s="81" t="s">
        <v>3922</v>
      </c>
      <c r="G911" s="81" t="s">
        <v>120</v>
      </c>
      <c r="H911" s="81" t="s">
        <v>3923</v>
      </c>
    </row>
    <row r="912" customFormat="false" ht="15" hidden="false" customHeight="false" outlineLevel="0" collapsed="false">
      <c r="A912" s="81" t="n">
        <v>911</v>
      </c>
      <c r="B912" s="81" t="s">
        <v>7</v>
      </c>
      <c r="C912" s="81" t="s">
        <v>3924</v>
      </c>
      <c r="D912" s="81" t="s">
        <v>3925</v>
      </c>
      <c r="E912" s="82" t="s">
        <v>3926</v>
      </c>
      <c r="F912" s="81" t="s">
        <v>3927</v>
      </c>
      <c r="G912" s="81" t="s">
        <v>120</v>
      </c>
      <c r="H912" s="81" t="s">
        <v>3928</v>
      </c>
    </row>
    <row r="913" customFormat="false" ht="15" hidden="false" customHeight="false" outlineLevel="0" collapsed="false">
      <c r="A913" s="81" t="n">
        <v>912</v>
      </c>
      <c r="B913" s="81" t="s">
        <v>7</v>
      </c>
      <c r="C913" s="81" t="s">
        <v>3929</v>
      </c>
      <c r="D913" s="81" t="s">
        <v>3930</v>
      </c>
      <c r="E913" s="82" t="s">
        <v>3931</v>
      </c>
      <c r="F913" s="81" t="s">
        <v>3932</v>
      </c>
      <c r="G913" s="81" t="s">
        <v>120</v>
      </c>
      <c r="H913" s="81" t="s">
        <v>3933</v>
      </c>
    </row>
    <row r="914" customFormat="false" ht="15" hidden="false" customHeight="false" outlineLevel="0" collapsed="false">
      <c r="A914" s="81" t="n">
        <v>913</v>
      </c>
      <c r="B914" s="81" t="s">
        <v>7</v>
      </c>
      <c r="C914" s="81" t="s">
        <v>3934</v>
      </c>
      <c r="D914" s="81" t="s">
        <v>3935</v>
      </c>
      <c r="E914" s="82" t="s">
        <v>3936</v>
      </c>
      <c r="F914" s="81" t="s">
        <v>3937</v>
      </c>
      <c r="G914" s="81" t="s">
        <v>120</v>
      </c>
      <c r="H914" s="81"/>
    </row>
    <row r="915" customFormat="false" ht="15" hidden="false" customHeight="false" outlineLevel="0" collapsed="false">
      <c r="A915" s="81" t="n">
        <v>914</v>
      </c>
      <c r="B915" s="81" t="s">
        <v>7</v>
      </c>
      <c r="C915" s="81" t="s">
        <v>3938</v>
      </c>
      <c r="D915" s="81" t="s">
        <v>3939</v>
      </c>
      <c r="E915" s="82" t="s">
        <v>3940</v>
      </c>
      <c r="F915" s="81" t="s">
        <v>3941</v>
      </c>
      <c r="G915" s="81" t="s">
        <v>120</v>
      </c>
      <c r="H915" s="81" t="s">
        <v>845</v>
      </c>
    </row>
    <row r="916" customFormat="false" ht="15" hidden="false" customHeight="false" outlineLevel="0" collapsed="false">
      <c r="A916" s="81" t="n">
        <v>915</v>
      </c>
      <c r="B916" s="81" t="s">
        <v>7</v>
      </c>
      <c r="C916" s="81" t="s">
        <v>3942</v>
      </c>
      <c r="D916" s="81" t="s">
        <v>3943</v>
      </c>
      <c r="E916" s="82" t="s">
        <v>3944</v>
      </c>
      <c r="F916" s="81" t="s">
        <v>3945</v>
      </c>
      <c r="G916" s="81" t="s">
        <v>120</v>
      </c>
      <c r="H916" s="81"/>
    </row>
    <row r="917" customFormat="false" ht="15" hidden="false" customHeight="false" outlineLevel="0" collapsed="false">
      <c r="A917" s="81" t="n">
        <v>916</v>
      </c>
      <c r="B917" s="81" t="s">
        <v>7</v>
      </c>
      <c r="C917" s="81" t="s">
        <v>3946</v>
      </c>
      <c r="D917" s="81" t="s">
        <v>3947</v>
      </c>
      <c r="E917" s="82" t="s">
        <v>3948</v>
      </c>
      <c r="F917" s="81" t="s">
        <v>3949</v>
      </c>
      <c r="G917" s="81" t="s">
        <v>120</v>
      </c>
      <c r="H917" s="81" t="s">
        <v>3950</v>
      </c>
    </row>
    <row r="918" customFormat="false" ht="15" hidden="false" customHeight="false" outlineLevel="0" collapsed="false">
      <c r="A918" s="81" t="n">
        <v>917</v>
      </c>
      <c r="B918" s="81" t="s">
        <v>7</v>
      </c>
      <c r="C918" s="81" t="s">
        <v>3951</v>
      </c>
      <c r="D918" s="81" t="s">
        <v>3952</v>
      </c>
      <c r="E918" s="82" t="s">
        <v>3953</v>
      </c>
      <c r="F918" s="81" t="s">
        <v>3954</v>
      </c>
      <c r="G918" s="81" t="s">
        <v>120</v>
      </c>
      <c r="H918" s="81" t="s">
        <v>3955</v>
      </c>
    </row>
    <row r="919" customFormat="false" ht="15" hidden="false" customHeight="false" outlineLevel="0" collapsed="false">
      <c r="A919" s="81" t="n">
        <v>918</v>
      </c>
      <c r="B919" s="81" t="s">
        <v>7</v>
      </c>
      <c r="C919" s="81" t="s">
        <v>3956</v>
      </c>
      <c r="D919" s="81" t="s">
        <v>3956</v>
      </c>
      <c r="E919" s="82" t="s">
        <v>3957</v>
      </c>
      <c r="F919" s="81" t="s">
        <v>3958</v>
      </c>
      <c r="G919" s="81" t="s">
        <v>120</v>
      </c>
      <c r="H919" s="81"/>
    </row>
    <row r="920" customFormat="false" ht="15" hidden="false" customHeight="false" outlineLevel="0" collapsed="false">
      <c r="A920" s="81" t="n">
        <v>919</v>
      </c>
      <c r="B920" s="81" t="s">
        <v>7</v>
      </c>
      <c r="C920" s="81" t="s">
        <v>3959</v>
      </c>
      <c r="D920" s="81" t="s">
        <v>3960</v>
      </c>
      <c r="E920" s="82" t="s">
        <v>3961</v>
      </c>
      <c r="F920" s="81" t="s">
        <v>3962</v>
      </c>
      <c r="G920" s="81" t="s">
        <v>120</v>
      </c>
      <c r="H920" s="81" t="s">
        <v>3963</v>
      </c>
    </row>
    <row r="921" customFormat="false" ht="15" hidden="false" customHeight="false" outlineLevel="0" collapsed="false">
      <c r="A921" s="81" t="n">
        <v>920</v>
      </c>
      <c r="B921" s="81" t="s">
        <v>7</v>
      </c>
      <c r="C921" s="81" t="s">
        <v>3964</v>
      </c>
      <c r="D921" s="81" t="s">
        <v>3965</v>
      </c>
      <c r="E921" s="82" t="s">
        <v>3966</v>
      </c>
      <c r="F921" s="81" t="s">
        <v>3967</v>
      </c>
      <c r="G921" s="81" t="s">
        <v>120</v>
      </c>
      <c r="H921" s="81" t="s">
        <v>3968</v>
      </c>
    </row>
    <row r="922" customFormat="false" ht="15" hidden="false" customHeight="false" outlineLevel="0" collapsed="false">
      <c r="A922" s="81" t="n">
        <v>921</v>
      </c>
      <c r="B922" s="81" t="s">
        <v>7</v>
      </c>
      <c r="C922" s="81" t="s">
        <v>3969</v>
      </c>
      <c r="D922" s="81" t="s">
        <v>3970</v>
      </c>
      <c r="E922" s="82" t="s">
        <v>3971</v>
      </c>
      <c r="F922" s="81" t="s">
        <v>3972</v>
      </c>
      <c r="G922" s="81" t="s">
        <v>120</v>
      </c>
      <c r="H922" s="81"/>
    </row>
    <row r="923" customFormat="false" ht="15" hidden="false" customHeight="false" outlineLevel="0" collapsed="false">
      <c r="A923" s="81" t="n">
        <v>922</v>
      </c>
      <c r="B923" s="81" t="s">
        <v>7</v>
      </c>
      <c r="C923" s="81" t="s">
        <v>3908</v>
      </c>
      <c r="D923" s="81" t="s">
        <v>3973</v>
      </c>
      <c r="E923" s="82" t="s">
        <v>3910</v>
      </c>
      <c r="F923" s="81" t="s">
        <v>3911</v>
      </c>
      <c r="G923" s="81" t="s">
        <v>120</v>
      </c>
      <c r="H923" s="81" t="s">
        <v>845</v>
      </c>
    </row>
    <row r="924" customFormat="false" ht="15" hidden="false" customHeight="false" outlineLevel="0" collapsed="false">
      <c r="A924" s="81" t="n">
        <v>923</v>
      </c>
      <c r="B924" s="81" t="s">
        <v>7</v>
      </c>
      <c r="C924" s="81" t="s">
        <v>3974</v>
      </c>
      <c r="D924" s="81" t="s">
        <v>3975</v>
      </c>
      <c r="E924" s="82" t="s">
        <v>3976</v>
      </c>
      <c r="F924" s="81" t="s">
        <v>3977</v>
      </c>
      <c r="G924" s="81" t="s">
        <v>120</v>
      </c>
      <c r="H924" s="81"/>
    </row>
    <row r="925" customFormat="false" ht="15" hidden="false" customHeight="false" outlineLevel="0" collapsed="false">
      <c r="A925" s="81" t="n">
        <v>924</v>
      </c>
      <c r="B925" s="81" t="s">
        <v>7</v>
      </c>
      <c r="C925" s="81" t="s">
        <v>3978</v>
      </c>
      <c r="D925" s="81" t="s">
        <v>3979</v>
      </c>
      <c r="E925" s="82" t="s">
        <v>3980</v>
      </c>
      <c r="F925" s="81" t="s">
        <v>3981</v>
      </c>
      <c r="G925" s="81" t="s">
        <v>120</v>
      </c>
      <c r="H925" s="81" t="s">
        <v>3982</v>
      </c>
    </row>
    <row r="926" customFormat="false" ht="15" hidden="false" customHeight="false" outlineLevel="0" collapsed="false">
      <c r="A926" s="81" t="n">
        <v>925</v>
      </c>
      <c r="B926" s="81" t="s">
        <v>7</v>
      </c>
      <c r="C926" s="81" t="s">
        <v>3983</v>
      </c>
      <c r="D926" s="81" t="s">
        <v>3984</v>
      </c>
      <c r="E926" s="82" t="s">
        <v>3985</v>
      </c>
      <c r="F926" s="81" t="s">
        <v>3986</v>
      </c>
      <c r="G926" s="81" t="s">
        <v>122</v>
      </c>
      <c r="H926" s="81" t="s">
        <v>3987</v>
      </c>
    </row>
    <row r="927" customFormat="false" ht="15" hidden="false" customHeight="false" outlineLevel="0" collapsed="false">
      <c r="A927" s="81" t="n">
        <v>926</v>
      </c>
      <c r="B927" s="81" t="s">
        <v>7</v>
      </c>
      <c r="C927" s="81" t="s">
        <v>3988</v>
      </c>
      <c r="D927" s="81" t="s">
        <v>3989</v>
      </c>
      <c r="E927" s="82" t="s">
        <v>3990</v>
      </c>
      <c r="F927" s="81" t="s">
        <v>3991</v>
      </c>
      <c r="G927" s="81" t="s">
        <v>122</v>
      </c>
      <c r="H927" s="81"/>
    </row>
    <row r="928" customFormat="false" ht="15" hidden="false" customHeight="false" outlineLevel="0" collapsed="false">
      <c r="A928" s="81" t="n">
        <v>927</v>
      </c>
      <c r="B928" s="81" t="s">
        <v>7</v>
      </c>
      <c r="C928" s="81" t="s">
        <v>3992</v>
      </c>
      <c r="D928" s="81" t="s">
        <v>3993</v>
      </c>
      <c r="E928" s="82" t="s">
        <v>3994</v>
      </c>
      <c r="F928" s="81" t="s">
        <v>3995</v>
      </c>
      <c r="G928" s="81" t="s">
        <v>122</v>
      </c>
      <c r="H928" s="81" t="s">
        <v>3996</v>
      </c>
    </row>
    <row r="929" customFormat="false" ht="15" hidden="false" customHeight="false" outlineLevel="0" collapsed="false">
      <c r="A929" s="81" t="n">
        <v>928</v>
      </c>
      <c r="B929" s="81" t="s">
        <v>7</v>
      </c>
      <c r="C929" s="81" t="s">
        <v>3997</v>
      </c>
      <c r="D929" s="81" t="s">
        <v>3998</v>
      </c>
      <c r="E929" s="82" t="s">
        <v>3999</v>
      </c>
      <c r="F929" s="81" t="s">
        <v>4000</v>
      </c>
      <c r="G929" s="81" t="s">
        <v>122</v>
      </c>
      <c r="H929" s="81"/>
    </row>
    <row r="930" customFormat="false" ht="15" hidden="false" customHeight="false" outlineLevel="0" collapsed="false">
      <c r="A930" s="81" t="n">
        <v>929</v>
      </c>
      <c r="B930" s="81" t="s">
        <v>7</v>
      </c>
      <c r="C930" s="81" t="s">
        <v>4001</v>
      </c>
      <c r="D930" s="81" t="s">
        <v>4002</v>
      </c>
      <c r="E930" s="82" t="s">
        <v>4003</v>
      </c>
      <c r="F930" s="81" t="s">
        <v>4004</v>
      </c>
      <c r="G930" s="81" t="s">
        <v>122</v>
      </c>
      <c r="H930" s="81" t="s">
        <v>4005</v>
      </c>
    </row>
    <row r="931" customFormat="false" ht="15" hidden="false" customHeight="false" outlineLevel="0" collapsed="false">
      <c r="A931" s="81" t="n">
        <v>930</v>
      </c>
      <c r="B931" s="81" t="s">
        <v>7</v>
      </c>
      <c r="C931" s="81" t="s">
        <v>4006</v>
      </c>
      <c r="D931" s="81" t="s">
        <v>4007</v>
      </c>
      <c r="E931" s="82" t="s">
        <v>4008</v>
      </c>
      <c r="F931" s="81" t="s">
        <v>4009</v>
      </c>
      <c r="G931" s="81" t="s">
        <v>122</v>
      </c>
      <c r="H931" s="81" t="s">
        <v>4010</v>
      </c>
    </row>
    <row r="932" customFormat="false" ht="15" hidden="false" customHeight="false" outlineLevel="0" collapsed="false">
      <c r="A932" s="81" t="n">
        <v>931</v>
      </c>
      <c r="B932" s="81" t="s">
        <v>7</v>
      </c>
      <c r="C932" s="81" t="s">
        <v>4011</v>
      </c>
      <c r="D932" s="81" t="s">
        <v>4012</v>
      </c>
      <c r="E932" s="82" t="s">
        <v>4013</v>
      </c>
      <c r="F932" s="81" t="s">
        <v>4014</v>
      </c>
      <c r="G932" s="81" t="s">
        <v>122</v>
      </c>
      <c r="H932" s="81" t="s">
        <v>4015</v>
      </c>
    </row>
    <row r="933" customFormat="false" ht="15" hidden="false" customHeight="false" outlineLevel="0" collapsed="false">
      <c r="A933" s="81" t="n">
        <v>932</v>
      </c>
      <c r="B933" s="81" t="s">
        <v>7</v>
      </c>
      <c r="C933" s="81" t="s">
        <v>4016</v>
      </c>
      <c r="D933" s="81" t="s">
        <v>4017</v>
      </c>
      <c r="E933" s="82" t="s">
        <v>4018</v>
      </c>
      <c r="F933" s="81" t="s">
        <v>4019</v>
      </c>
      <c r="G933" s="81" t="s">
        <v>122</v>
      </c>
      <c r="H933" s="81"/>
    </row>
    <row r="934" customFormat="false" ht="15" hidden="false" customHeight="false" outlineLevel="0" collapsed="false">
      <c r="A934" s="81" t="n">
        <v>933</v>
      </c>
      <c r="B934" s="81" t="s">
        <v>7</v>
      </c>
      <c r="C934" s="81" t="s">
        <v>4020</v>
      </c>
      <c r="D934" s="81" t="s">
        <v>4021</v>
      </c>
      <c r="E934" s="82" t="s">
        <v>4022</v>
      </c>
      <c r="F934" s="81" t="s">
        <v>4023</v>
      </c>
      <c r="G934" s="81" t="s">
        <v>122</v>
      </c>
      <c r="H934" s="81"/>
    </row>
    <row r="935" customFormat="false" ht="15" hidden="false" customHeight="false" outlineLevel="0" collapsed="false">
      <c r="A935" s="81" t="n">
        <v>934</v>
      </c>
      <c r="B935" s="81" t="s">
        <v>7</v>
      </c>
      <c r="C935" s="81" t="s">
        <v>4024</v>
      </c>
      <c r="D935" s="81" t="s">
        <v>4025</v>
      </c>
      <c r="E935" s="82" t="s">
        <v>4026</v>
      </c>
      <c r="F935" s="81" t="s">
        <v>4027</v>
      </c>
      <c r="G935" s="81" t="s">
        <v>122</v>
      </c>
      <c r="H935" s="81"/>
    </row>
    <row r="936" customFormat="false" ht="15" hidden="false" customHeight="false" outlineLevel="0" collapsed="false">
      <c r="A936" s="81" t="n">
        <v>935</v>
      </c>
      <c r="B936" s="81" t="s">
        <v>7</v>
      </c>
      <c r="C936" s="81" t="s">
        <v>4028</v>
      </c>
      <c r="D936" s="81" t="s">
        <v>4029</v>
      </c>
      <c r="E936" s="82" t="s">
        <v>4030</v>
      </c>
      <c r="F936" s="81" t="s">
        <v>4031</v>
      </c>
      <c r="G936" s="81" t="s">
        <v>122</v>
      </c>
      <c r="H936" s="81" t="s">
        <v>4032</v>
      </c>
    </row>
    <row r="937" customFormat="false" ht="15" hidden="false" customHeight="false" outlineLevel="0" collapsed="false">
      <c r="A937" s="81" t="n">
        <v>936</v>
      </c>
      <c r="B937" s="81" t="s">
        <v>7</v>
      </c>
      <c r="C937" s="81" t="s">
        <v>4033</v>
      </c>
      <c r="D937" s="81" t="s">
        <v>4034</v>
      </c>
      <c r="E937" s="82" t="s">
        <v>4035</v>
      </c>
      <c r="F937" s="81" t="s">
        <v>4036</v>
      </c>
      <c r="G937" s="81" t="s">
        <v>122</v>
      </c>
      <c r="H937" s="81"/>
    </row>
    <row r="938" customFormat="false" ht="15" hidden="false" customHeight="false" outlineLevel="0" collapsed="false">
      <c r="A938" s="81" t="n">
        <v>937</v>
      </c>
      <c r="B938" s="81" t="s">
        <v>7</v>
      </c>
      <c r="C938" s="81" t="s">
        <v>4037</v>
      </c>
      <c r="D938" s="81" t="s">
        <v>4038</v>
      </c>
      <c r="E938" s="82" t="s">
        <v>4039</v>
      </c>
      <c r="F938" s="81" t="s">
        <v>4040</v>
      </c>
      <c r="G938" s="81" t="s">
        <v>122</v>
      </c>
      <c r="H938" s="81"/>
    </row>
    <row r="939" customFormat="false" ht="15" hidden="false" customHeight="false" outlineLevel="0" collapsed="false">
      <c r="A939" s="81" t="n">
        <v>938</v>
      </c>
      <c r="B939" s="81" t="s">
        <v>7</v>
      </c>
      <c r="C939" s="81" t="s">
        <v>4041</v>
      </c>
      <c r="D939" s="81" t="s">
        <v>4042</v>
      </c>
      <c r="E939" s="82" t="s">
        <v>4043</v>
      </c>
      <c r="F939" s="81" t="s">
        <v>4044</v>
      </c>
      <c r="G939" s="81" t="s">
        <v>122</v>
      </c>
      <c r="H939" s="81"/>
    </row>
    <row r="940" customFormat="false" ht="15" hidden="false" customHeight="false" outlineLevel="0" collapsed="false">
      <c r="A940" s="81" t="n">
        <v>939</v>
      </c>
      <c r="B940" s="81" t="s">
        <v>7</v>
      </c>
      <c r="C940" s="81" t="s">
        <v>4045</v>
      </c>
      <c r="D940" s="81" t="s">
        <v>4046</v>
      </c>
      <c r="E940" s="82" t="s">
        <v>4047</v>
      </c>
      <c r="F940" s="81" t="s">
        <v>4048</v>
      </c>
      <c r="G940" s="81" t="s">
        <v>122</v>
      </c>
      <c r="H940" s="81"/>
    </row>
    <row r="941" customFormat="false" ht="15" hidden="false" customHeight="false" outlineLevel="0" collapsed="false">
      <c r="A941" s="81" t="n">
        <v>940</v>
      </c>
      <c r="B941" s="81" t="s">
        <v>7</v>
      </c>
      <c r="C941" s="81" t="s">
        <v>4049</v>
      </c>
      <c r="D941" s="81" t="s">
        <v>4050</v>
      </c>
      <c r="E941" s="82" t="s">
        <v>4051</v>
      </c>
      <c r="F941" s="81" t="s">
        <v>4052</v>
      </c>
      <c r="G941" s="81" t="s">
        <v>122</v>
      </c>
      <c r="H941" s="81"/>
    </row>
    <row r="942" customFormat="false" ht="15" hidden="false" customHeight="false" outlineLevel="0" collapsed="false">
      <c r="A942" s="81" t="n">
        <v>941</v>
      </c>
      <c r="B942" s="81" t="s">
        <v>7</v>
      </c>
      <c r="C942" s="81" t="s">
        <v>4053</v>
      </c>
      <c r="D942" s="81" t="s">
        <v>4054</v>
      </c>
      <c r="E942" s="82" t="s">
        <v>4055</v>
      </c>
      <c r="F942" s="81" t="s">
        <v>4056</v>
      </c>
      <c r="G942" s="81" t="s">
        <v>122</v>
      </c>
      <c r="H942" s="81"/>
    </row>
    <row r="943" customFormat="false" ht="15" hidden="false" customHeight="false" outlineLevel="0" collapsed="false">
      <c r="A943" s="81" t="n">
        <v>942</v>
      </c>
      <c r="B943" s="81" t="s">
        <v>7</v>
      </c>
      <c r="C943" s="81" t="s">
        <v>4057</v>
      </c>
      <c r="D943" s="81" t="s">
        <v>4058</v>
      </c>
      <c r="E943" s="82" t="s">
        <v>4059</v>
      </c>
      <c r="F943" s="81" t="s">
        <v>4060</v>
      </c>
      <c r="G943" s="81" t="s">
        <v>122</v>
      </c>
      <c r="H943" s="81"/>
    </row>
    <row r="944" customFormat="false" ht="15" hidden="false" customHeight="false" outlineLevel="0" collapsed="false">
      <c r="A944" s="81" t="n">
        <v>943</v>
      </c>
      <c r="B944" s="81" t="s">
        <v>7</v>
      </c>
      <c r="C944" s="81" t="s">
        <v>4061</v>
      </c>
      <c r="D944" s="81" t="s">
        <v>4062</v>
      </c>
      <c r="E944" s="82" t="s">
        <v>4063</v>
      </c>
      <c r="F944" s="81" t="s">
        <v>4064</v>
      </c>
      <c r="G944" s="81" t="s">
        <v>122</v>
      </c>
      <c r="H944" s="81"/>
    </row>
    <row r="945" customFormat="false" ht="15" hidden="false" customHeight="false" outlineLevel="0" collapsed="false">
      <c r="A945" s="81" t="n">
        <v>944</v>
      </c>
      <c r="B945" s="81" t="s">
        <v>7</v>
      </c>
      <c r="C945" s="81" t="s">
        <v>4065</v>
      </c>
      <c r="D945" s="81" t="s">
        <v>4066</v>
      </c>
      <c r="E945" s="82" t="s">
        <v>4067</v>
      </c>
      <c r="F945" s="81" t="s">
        <v>4068</v>
      </c>
      <c r="G945" s="81" t="s">
        <v>122</v>
      </c>
      <c r="H945" s="81"/>
    </row>
    <row r="946" customFormat="false" ht="15" hidden="false" customHeight="false" outlineLevel="0" collapsed="false">
      <c r="A946" s="81" t="n">
        <v>945</v>
      </c>
      <c r="B946" s="81" t="s">
        <v>7</v>
      </c>
      <c r="C946" s="81" t="s">
        <v>4069</v>
      </c>
      <c r="D946" s="81" t="s">
        <v>4070</v>
      </c>
      <c r="E946" s="82" t="s">
        <v>4071</v>
      </c>
      <c r="F946" s="81" t="s">
        <v>4072</v>
      </c>
      <c r="G946" s="81" t="s">
        <v>122</v>
      </c>
      <c r="H946" s="81"/>
    </row>
    <row r="947" customFormat="false" ht="15" hidden="false" customHeight="false" outlineLevel="0" collapsed="false">
      <c r="A947" s="81" t="n">
        <v>946</v>
      </c>
      <c r="B947" s="81" t="s">
        <v>7</v>
      </c>
      <c r="C947" s="81" t="s">
        <v>4073</v>
      </c>
      <c r="D947" s="81" t="s">
        <v>4074</v>
      </c>
      <c r="E947" s="82" t="s">
        <v>4075</v>
      </c>
      <c r="F947" s="81" t="s">
        <v>4076</v>
      </c>
      <c r="G947" s="81" t="s">
        <v>122</v>
      </c>
      <c r="H947" s="81"/>
    </row>
    <row r="948" customFormat="false" ht="15" hidden="false" customHeight="false" outlineLevel="0" collapsed="false">
      <c r="A948" s="81" t="n">
        <v>947</v>
      </c>
      <c r="B948" s="81" t="s">
        <v>7</v>
      </c>
      <c r="C948" s="81" t="s">
        <v>4077</v>
      </c>
      <c r="D948" s="81" t="s">
        <v>4078</v>
      </c>
      <c r="E948" s="82" t="s">
        <v>4079</v>
      </c>
      <c r="F948" s="81" t="s">
        <v>4080</v>
      </c>
      <c r="G948" s="81" t="s">
        <v>124</v>
      </c>
      <c r="H948" s="81" t="s">
        <v>4081</v>
      </c>
    </row>
    <row r="949" customFormat="false" ht="15" hidden="false" customHeight="false" outlineLevel="0" collapsed="false">
      <c r="A949" s="81" t="n">
        <v>948</v>
      </c>
      <c r="B949" s="81" t="s">
        <v>7</v>
      </c>
      <c r="C949" s="81" t="s">
        <v>4082</v>
      </c>
      <c r="D949" s="81" t="s">
        <v>4083</v>
      </c>
      <c r="E949" s="82" t="s">
        <v>4084</v>
      </c>
      <c r="F949" s="81" t="s">
        <v>4085</v>
      </c>
      <c r="G949" s="81" t="s">
        <v>124</v>
      </c>
      <c r="H949" s="81" t="s">
        <v>4086</v>
      </c>
    </row>
    <row r="950" customFormat="false" ht="15" hidden="false" customHeight="false" outlineLevel="0" collapsed="false">
      <c r="A950" s="81" t="n">
        <v>949</v>
      </c>
      <c r="B950" s="81" t="s">
        <v>7</v>
      </c>
      <c r="C950" s="81" t="s">
        <v>4087</v>
      </c>
      <c r="D950" s="81" t="s">
        <v>4088</v>
      </c>
      <c r="E950" s="82" t="s">
        <v>4089</v>
      </c>
      <c r="F950" s="81" t="s">
        <v>4090</v>
      </c>
      <c r="G950" s="81" t="s">
        <v>124</v>
      </c>
      <c r="H950" s="81" t="s">
        <v>4091</v>
      </c>
    </row>
    <row r="951" customFormat="false" ht="15" hidden="false" customHeight="false" outlineLevel="0" collapsed="false">
      <c r="A951" s="81" t="n">
        <v>950</v>
      </c>
      <c r="B951" s="81" t="s">
        <v>7</v>
      </c>
      <c r="C951" s="81" t="s">
        <v>4092</v>
      </c>
      <c r="D951" s="81" t="s">
        <v>4093</v>
      </c>
      <c r="E951" s="82" t="s">
        <v>4094</v>
      </c>
      <c r="F951" s="81" t="s">
        <v>4095</v>
      </c>
      <c r="G951" s="81" t="s">
        <v>124</v>
      </c>
      <c r="H951" s="81"/>
    </row>
    <row r="952" customFormat="false" ht="15" hidden="false" customHeight="false" outlineLevel="0" collapsed="false">
      <c r="A952" s="81" t="n">
        <v>951</v>
      </c>
      <c r="B952" s="81" t="s">
        <v>7</v>
      </c>
      <c r="C952" s="81" t="s">
        <v>4096</v>
      </c>
      <c r="D952" s="81" t="s">
        <v>4097</v>
      </c>
      <c r="E952" s="82" t="s">
        <v>4098</v>
      </c>
      <c r="F952" s="81" t="s">
        <v>4099</v>
      </c>
      <c r="G952" s="81" t="s">
        <v>124</v>
      </c>
      <c r="H952" s="81" t="s">
        <v>4100</v>
      </c>
    </row>
    <row r="953" customFormat="false" ht="15" hidden="false" customHeight="false" outlineLevel="0" collapsed="false">
      <c r="A953" s="81" t="n">
        <v>952</v>
      </c>
      <c r="B953" s="81" t="s">
        <v>7</v>
      </c>
      <c r="C953" s="81" t="s">
        <v>4101</v>
      </c>
      <c r="D953" s="81" t="s">
        <v>4102</v>
      </c>
      <c r="E953" s="82" t="s">
        <v>4103</v>
      </c>
      <c r="F953" s="81" t="s">
        <v>4104</v>
      </c>
      <c r="G953" s="81" t="s">
        <v>124</v>
      </c>
      <c r="H953" s="81" t="s">
        <v>4105</v>
      </c>
    </row>
    <row r="954" customFormat="false" ht="15" hidden="false" customHeight="false" outlineLevel="0" collapsed="false">
      <c r="A954" s="81" t="n">
        <v>953</v>
      </c>
      <c r="B954" s="81" t="s">
        <v>7</v>
      </c>
      <c r="C954" s="81" t="s">
        <v>4106</v>
      </c>
      <c r="D954" s="81" t="s">
        <v>4107</v>
      </c>
      <c r="E954" s="82" t="s">
        <v>4108</v>
      </c>
      <c r="F954" s="81" t="s">
        <v>4109</v>
      </c>
      <c r="G954" s="81" t="s">
        <v>124</v>
      </c>
      <c r="H954" s="81" t="s">
        <v>4110</v>
      </c>
    </row>
    <row r="955" customFormat="false" ht="15" hidden="false" customHeight="false" outlineLevel="0" collapsed="false">
      <c r="A955" s="81" t="n">
        <v>954</v>
      </c>
      <c r="B955" s="81" t="s">
        <v>7</v>
      </c>
      <c r="C955" s="81" t="s">
        <v>4111</v>
      </c>
      <c r="D955" s="81" t="s">
        <v>4112</v>
      </c>
      <c r="E955" s="82" t="s">
        <v>4113</v>
      </c>
      <c r="F955" s="81" t="s">
        <v>4114</v>
      </c>
      <c r="G955" s="81" t="s">
        <v>124</v>
      </c>
      <c r="H955" s="81" t="s">
        <v>4115</v>
      </c>
    </row>
    <row r="956" customFormat="false" ht="15" hidden="false" customHeight="false" outlineLevel="0" collapsed="false">
      <c r="A956" s="81" t="n">
        <v>955</v>
      </c>
      <c r="B956" s="81" t="s">
        <v>7</v>
      </c>
      <c r="C956" s="81" t="s">
        <v>4116</v>
      </c>
      <c r="D956" s="81" t="s">
        <v>4117</v>
      </c>
      <c r="E956" s="82" t="s">
        <v>4118</v>
      </c>
      <c r="F956" s="81" t="s">
        <v>4119</v>
      </c>
      <c r="G956" s="81" t="s">
        <v>124</v>
      </c>
      <c r="H956" s="81" t="s">
        <v>4120</v>
      </c>
    </row>
    <row r="957" customFormat="false" ht="15" hidden="false" customHeight="false" outlineLevel="0" collapsed="false">
      <c r="A957" s="81" t="n">
        <v>956</v>
      </c>
      <c r="B957" s="81" t="s">
        <v>7</v>
      </c>
      <c r="C957" s="81" t="s">
        <v>4121</v>
      </c>
      <c r="D957" s="81" t="s">
        <v>4122</v>
      </c>
      <c r="E957" s="82" t="s">
        <v>4123</v>
      </c>
      <c r="F957" s="81" t="s">
        <v>4124</v>
      </c>
      <c r="G957" s="81" t="s">
        <v>124</v>
      </c>
      <c r="H957" s="81" t="s">
        <v>4125</v>
      </c>
    </row>
    <row r="958" customFormat="false" ht="15" hidden="false" customHeight="false" outlineLevel="0" collapsed="false">
      <c r="A958" s="81" t="n">
        <v>957</v>
      </c>
      <c r="B958" s="81" t="s">
        <v>7</v>
      </c>
      <c r="C958" s="81" t="s">
        <v>4126</v>
      </c>
      <c r="D958" s="81" t="s">
        <v>4127</v>
      </c>
      <c r="E958" s="82" t="s">
        <v>4128</v>
      </c>
      <c r="F958" s="81" t="s">
        <v>4129</v>
      </c>
      <c r="G958" s="81" t="s">
        <v>124</v>
      </c>
      <c r="H958" s="81" t="s">
        <v>4130</v>
      </c>
    </row>
    <row r="959" customFormat="false" ht="15" hidden="false" customHeight="false" outlineLevel="0" collapsed="false">
      <c r="A959" s="81" t="n">
        <v>958</v>
      </c>
      <c r="B959" s="81" t="s">
        <v>7</v>
      </c>
      <c r="C959" s="81" t="s">
        <v>4131</v>
      </c>
      <c r="D959" s="81" t="s">
        <v>4132</v>
      </c>
      <c r="E959" s="82" t="s">
        <v>4133</v>
      </c>
      <c r="F959" s="81" t="s">
        <v>4134</v>
      </c>
      <c r="G959" s="81" t="s">
        <v>124</v>
      </c>
      <c r="H959" s="81" t="s">
        <v>4135</v>
      </c>
    </row>
    <row r="960" customFormat="false" ht="15" hidden="false" customHeight="false" outlineLevel="0" collapsed="false">
      <c r="A960" s="81" t="n">
        <v>959</v>
      </c>
      <c r="B960" s="81" t="s">
        <v>7</v>
      </c>
      <c r="C960" s="81" t="s">
        <v>4136</v>
      </c>
      <c r="D960" s="81" t="s">
        <v>4137</v>
      </c>
      <c r="E960" s="82" t="s">
        <v>4138</v>
      </c>
      <c r="F960" s="81" t="s">
        <v>4139</v>
      </c>
      <c r="G960" s="81" t="s">
        <v>124</v>
      </c>
      <c r="H960" s="81" t="s">
        <v>845</v>
      </c>
    </row>
    <row r="961" customFormat="false" ht="15" hidden="false" customHeight="false" outlineLevel="0" collapsed="false">
      <c r="A961" s="81" t="n">
        <v>960</v>
      </c>
      <c r="B961" s="81" t="s">
        <v>7</v>
      </c>
      <c r="C961" s="81" t="s">
        <v>4140</v>
      </c>
      <c r="D961" s="81" t="s">
        <v>4141</v>
      </c>
      <c r="E961" s="82" t="s">
        <v>4142</v>
      </c>
      <c r="F961" s="81" t="s">
        <v>4143</v>
      </c>
      <c r="G961" s="81" t="s">
        <v>124</v>
      </c>
      <c r="H961" s="81" t="s">
        <v>4144</v>
      </c>
    </row>
    <row r="962" customFormat="false" ht="15" hidden="false" customHeight="false" outlineLevel="0" collapsed="false">
      <c r="A962" s="81" t="n">
        <v>961</v>
      </c>
      <c r="B962" s="81" t="s">
        <v>7</v>
      </c>
      <c r="C962" s="81" t="s">
        <v>4145</v>
      </c>
      <c r="D962" s="81" t="s">
        <v>4146</v>
      </c>
      <c r="E962" s="82" t="s">
        <v>4147</v>
      </c>
      <c r="F962" s="81" t="s">
        <v>4148</v>
      </c>
      <c r="G962" s="81" t="s">
        <v>124</v>
      </c>
      <c r="H962" s="81" t="s">
        <v>4149</v>
      </c>
    </row>
    <row r="963" customFormat="false" ht="15" hidden="false" customHeight="false" outlineLevel="0" collapsed="false">
      <c r="A963" s="81" t="n">
        <v>962</v>
      </c>
      <c r="B963" s="81" t="s">
        <v>7</v>
      </c>
      <c r="C963" s="81" t="s">
        <v>4150</v>
      </c>
      <c r="D963" s="81" t="s">
        <v>4151</v>
      </c>
      <c r="E963" s="82" t="s">
        <v>4152</v>
      </c>
      <c r="F963" s="81" t="s">
        <v>4153</v>
      </c>
      <c r="G963" s="81" t="s">
        <v>124</v>
      </c>
      <c r="H963" s="81" t="s">
        <v>4154</v>
      </c>
    </row>
    <row r="964" customFormat="false" ht="15" hidden="false" customHeight="false" outlineLevel="0" collapsed="false">
      <c r="A964" s="81" t="n">
        <v>963</v>
      </c>
      <c r="B964" s="81" t="s">
        <v>7</v>
      </c>
      <c r="C964" s="81" t="s">
        <v>4155</v>
      </c>
      <c r="D964" s="81" t="s">
        <v>4156</v>
      </c>
      <c r="E964" s="82" t="s">
        <v>4157</v>
      </c>
      <c r="F964" s="81" t="s">
        <v>4158</v>
      </c>
      <c r="G964" s="81" t="s">
        <v>124</v>
      </c>
      <c r="H964" s="81"/>
    </row>
    <row r="965" customFormat="false" ht="15" hidden="false" customHeight="false" outlineLevel="0" collapsed="false">
      <c r="A965" s="81" t="n">
        <v>964</v>
      </c>
      <c r="B965" s="81" t="s">
        <v>7</v>
      </c>
      <c r="C965" s="81" t="s">
        <v>4159</v>
      </c>
      <c r="D965" s="81" t="s">
        <v>4160</v>
      </c>
      <c r="E965" s="82" t="s">
        <v>4161</v>
      </c>
      <c r="F965" s="81" t="s">
        <v>4162</v>
      </c>
      <c r="G965" s="81" t="s">
        <v>124</v>
      </c>
      <c r="H965" s="81"/>
    </row>
    <row r="966" customFormat="false" ht="15" hidden="false" customHeight="false" outlineLevel="0" collapsed="false">
      <c r="A966" s="81" t="n">
        <v>965</v>
      </c>
      <c r="B966" s="81" t="s">
        <v>7</v>
      </c>
      <c r="C966" s="81" t="s">
        <v>4163</v>
      </c>
      <c r="D966" s="81" t="s">
        <v>4164</v>
      </c>
      <c r="E966" s="82" t="s">
        <v>4165</v>
      </c>
      <c r="F966" s="81" t="s">
        <v>4166</v>
      </c>
      <c r="G966" s="81" t="s">
        <v>124</v>
      </c>
      <c r="H966" s="81" t="s">
        <v>4167</v>
      </c>
    </row>
    <row r="967" customFormat="false" ht="15" hidden="false" customHeight="false" outlineLevel="0" collapsed="false">
      <c r="A967" s="81" t="n">
        <v>966</v>
      </c>
      <c r="B967" s="81" t="s">
        <v>7</v>
      </c>
      <c r="C967" s="81" t="s">
        <v>4168</v>
      </c>
      <c r="D967" s="81" t="s">
        <v>4169</v>
      </c>
      <c r="E967" s="82" t="s">
        <v>4170</v>
      </c>
      <c r="F967" s="81" t="s">
        <v>4171</v>
      </c>
      <c r="G967" s="81" t="s">
        <v>124</v>
      </c>
      <c r="H967" s="81" t="s">
        <v>4172</v>
      </c>
    </row>
    <row r="968" customFormat="false" ht="15" hidden="false" customHeight="false" outlineLevel="0" collapsed="false">
      <c r="A968" s="81" t="n">
        <v>967</v>
      </c>
      <c r="B968" s="81" t="s">
        <v>7</v>
      </c>
      <c r="C968" s="81" t="s">
        <v>4173</v>
      </c>
      <c r="D968" s="81" t="s">
        <v>4174</v>
      </c>
      <c r="E968" s="82" t="s">
        <v>4175</v>
      </c>
      <c r="F968" s="81" t="s">
        <v>4176</v>
      </c>
      <c r="G968" s="81" t="s">
        <v>126</v>
      </c>
      <c r="H968" s="81" t="s">
        <v>4177</v>
      </c>
    </row>
    <row r="969" customFormat="false" ht="15" hidden="false" customHeight="false" outlineLevel="0" collapsed="false">
      <c r="A969" s="81" t="n">
        <v>968</v>
      </c>
      <c r="B969" s="81" t="s">
        <v>7</v>
      </c>
      <c r="C969" s="81" t="s">
        <v>4178</v>
      </c>
      <c r="D969" s="81" t="s">
        <v>4179</v>
      </c>
      <c r="E969" s="82" t="s">
        <v>4180</v>
      </c>
      <c r="F969" s="81" t="s">
        <v>4181</v>
      </c>
      <c r="G969" s="81" t="s">
        <v>126</v>
      </c>
      <c r="H969" s="81" t="s">
        <v>4182</v>
      </c>
    </row>
    <row r="970" customFormat="false" ht="15" hidden="false" customHeight="false" outlineLevel="0" collapsed="false">
      <c r="A970" s="81" t="n">
        <v>969</v>
      </c>
      <c r="B970" s="81" t="s">
        <v>7</v>
      </c>
      <c r="C970" s="81" t="s">
        <v>4183</v>
      </c>
      <c r="D970" s="81" t="s">
        <v>4184</v>
      </c>
      <c r="E970" s="82" t="s">
        <v>4185</v>
      </c>
      <c r="F970" s="81" t="s">
        <v>4186</v>
      </c>
      <c r="G970" s="81" t="s">
        <v>126</v>
      </c>
      <c r="H970" s="81" t="s">
        <v>4187</v>
      </c>
    </row>
    <row r="971" customFormat="false" ht="15" hidden="false" customHeight="false" outlineLevel="0" collapsed="false">
      <c r="A971" s="81" t="n">
        <v>970</v>
      </c>
      <c r="B971" s="81" t="s">
        <v>7</v>
      </c>
      <c r="C971" s="81" t="s">
        <v>4188</v>
      </c>
      <c r="D971" s="81" t="s">
        <v>4189</v>
      </c>
      <c r="E971" s="82" t="s">
        <v>4190</v>
      </c>
      <c r="F971" s="81" t="s">
        <v>4191</v>
      </c>
      <c r="G971" s="81" t="s">
        <v>126</v>
      </c>
      <c r="H971" s="81" t="s">
        <v>4192</v>
      </c>
    </row>
    <row r="972" customFormat="false" ht="15" hidden="false" customHeight="false" outlineLevel="0" collapsed="false">
      <c r="A972" s="81" t="n">
        <v>971</v>
      </c>
      <c r="B972" s="81" t="s">
        <v>7</v>
      </c>
      <c r="C972" s="81" t="s">
        <v>4193</v>
      </c>
      <c r="D972" s="81" t="s">
        <v>4194</v>
      </c>
      <c r="E972" s="82" t="s">
        <v>4195</v>
      </c>
      <c r="F972" s="81" t="s">
        <v>4196</v>
      </c>
      <c r="G972" s="81" t="s">
        <v>126</v>
      </c>
      <c r="H972" s="81" t="s">
        <v>4197</v>
      </c>
    </row>
    <row r="973" customFormat="false" ht="15" hidden="false" customHeight="false" outlineLevel="0" collapsed="false">
      <c r="A973" s="81" t="n">
        <v>972</v>
      </c>
      <c r="B973" s="81" t="s">
        <v>7</v>
      </c>
      <c r="C973" s="81" t="s">
        <v>4198</v>
      </c>
      <c r="D973" s="81" t="s">
        <v>4199</v>
      </c>
      <c r="E973" s="82" t="s">
        <v>4200</v>
      </c>
      <c r="F973" s="81" t="s">
        <v>4201</v>
      </c>
      <c r="G973" s="81" t="s">
        <v>126</v>
      </c>
      <c r="H973" s="81" t="s">
        <v>4202</v>
      </c>
    </row>
    <row r="974" customFormat="false" ht="15" hidden="false" customHeight="false" outlineLevel="0" collapsed="false">
      <c r="A974" s="81" t="n">
        <v>973</v>
      </c>
      <c r="B974" s="81" t="s">
        <v>7</v>
      </c>
      <c r="C974" s="81" t="s">
        <v>4203</v>
      </c>
      <c r="D974" s="81" t="s">
        <v>4204</v>
      </c>
      <c r="E974" s="82" t="s">
        <v>4103</v>
      </c>
      <c r="F974" s="81" t="s">
        <v>4104</v>
      </c>
      <c r="G974" s="81" t="s">
        <v>126</v>
      </c>
      <c r="H974" s="81" t="s">
        <v>4205</v>
      </c>
    </row>
    <row r="975" customFormat="false" ht="15" hidden="false" customHeight="false" outlineLevel="0" collapsed="false">
      <c r="A975" s="81" t="n">
        <v>974</v>
      </c>
      <c r="B975" s="81" t="s">
        <v>7</v>
      </c>
      <c r="C975" s="81" t="s">
        <v>4206</v>
      </c>
      <c r="D975" s="81" t="s">
        <v>4207</v>
      </c>
      <c r="E975" s="82" t="s">
        <v>4208</v>
      </c>
      <c r="F975" s="81" t="s">
        <v>4209</v>
      </c>
      <c r="G975" s="81" t="s">
        <v>126</v>
      </c>
      <c r="H975" s="81" t="s">
        <v>4210</v>
      </c>
    </row>
    <row r="976" customFormat="false" ht="15" hidden="false" customHeight="false" outlineLevel="0" collapsed="false">
      <c r="A976" s="81" t="n">
        <v>975</v>
      </c>
      <c r="B976" s="81" t="s">
        <v>7</v>
      </c>
      <c r="C976" s="81" t="s">
        <v>4211</v>
      </c>
      <c r="D976" s="81" t="s">
        <v>4212</v>
      </c>
      <c r="E976" s="82" t="s">
        <v>4213</v>
      </c>
      <c r="F976" s="81" t="s">
        <v>4214</v>
      </c>
      <c r="G976" s="81" t="s">
        <v>126</v>
      </c>
      <c r="H976" s="81" t="s">
        <v>4215</v>
      </c>
    </row>
    <row r="977" customFormat="false" ht="15" hidden="false" customHeight="false" outlineLevel="0" collapsed="false">
      <c r="A977" s="81" t="n">
        <v>976</v>
      </c>
      <c r="B977" s="81" t="s">
        <v>7</v>
      </c>
      <c r="C977" s="81" t="s">
        <v>4216</v>
      </c>
      <c r="D977" s="81" t="s">
        <v>4217</v>
      </c>
      <c r="E977" s="82" t="s">
        <v>4218</v>
      </c>
      <c r="F977" s="81" t="s">
        <v>4219</v>
      </c>
      <c r="G977" s="81" t="s">
        <v>126</v>
      </c>
      <c r="H977" s="81" t="s">
        <v>4220</v>
      </c>
    </row>
    <row r="978" customFormat="false" ht="15" hidden="false" customHeight="false" outlineLevel="0" collapsed="false">
      <c r="A978" s="81" t="n">
        <v>977</v>
      </c>
      <c r="B978" s="81" t="s">
        <v>7</v>
      </c>
      <c r="C978" s="81" t="s">
        <v>4221</v>
      </c>
      <c r="D978" s="81" t="s">
        <v>4222</v>
      </c>
      <c r="E978" s="82" t="s">
        <v>4223</v>
      </c>
      <c r="F978" s="81" t="s">
        <v>4224</v>
      </c>
      <c r="G978" s="81" t="s">
        <v>126</v>
      </c>
      <c r="H978" s="81" t="s">
        <v>4225</v>
      </c>
    </row>
    <row r="979" customFormat="false" ht="15" hidden="false" customHeight="false" outlineLevel="0" collapsed="false">
      <c r="A979" s="81" t="n">
        <v>978</v>
      </c>
      <c r="B979" s="81" t="s">
        <v>7</v>
      </c>
      <c r="C979" s="81" t="s">
        <v>4226</v>
      </c>
      <c r="D979" s="81" t="s">
        <v>4227</v>
      </c>
      <c r="E979" s="82" t="s">
        <v>4228</v>
      </c>
      <c r="F979" s="81" t="s">
        <v>4229</v>
      </c>
      <c r="G979" s="81" t="s">
        <v>126</v>
      </c>
      <c r="H979" s="81" t="s">
        <v>845</v>
      </c>
    </row>
    <row r="980" customFormat="false" ht="15" hidden="false" customHeight="false" outlineLevel="0" collapsed="false">
      <c r="A980" s="81" t="n">
        <v>979</v>
      </c>
      <c r="B980" s="81" t="s">
        <v>7</v>
      </c>
      <c r="C980" s="81" t="s">
        <v>3876</v>
      </c>
      <c r="D980" s="81" t="s">
        <v>4230</v>
      </c>
      <c r="E980" s="82" t="s">
        <v>3878</v>
      </c>
      <c r="F980" s="81" t="s">
        <v>3879</v>
      </c>
      <c r="G980" s="81" t="s">
        <v>126</v>
      </c>
      <c r="H980" s="81" t="s">
        <v>3880</v>
      </c>
    </row>
    <row r="981" customFormat="false" ht="15" hidden="false" customHeight="false" outlineLevel="0" collapsed="false">
      <c r="A981" s="81" t="n">
        <v>980</v>
      </c>
      <c r="B981" s="81" t="s">
        <v>7</v>
      </c>
      <c r="C981" s="81" t="s">
        <v>4231</v>
      </c>
      <c r="D981" s="81" t="s">
        <v>4232</v>
      </c>
      <c r="E981" s="82" t="s">
        <v>4233</v>
      </c>
      <c r="F981" s="81" t="s">
        <v>4234</v>
      </c>
      <c r="G981" s="81" t="s">
        <v>126</v>
      </c>
      <c r="H981" s="81" t="s">
        <v>4235</v>
      </c>
    </row>
    <row r="982" customFormat="false" ht="15" hidden="false" customHeight="false" outlineLevel="0" collapsed="false">
      <c r="A982" s="81" t="n">
        <v>981</v>
      </c>
      <c r="B982" s="81" t="s">
        <v>7</v>
      </c>
      <c r="C982" s="81" t="s">
        <v>4236</v>
      </c>
      <c r="D982" s="81" t="s">
        <v>4237</v>
      </c>
      <c r="E982" s="82" t="s">
        <v>4238</v>
      </c>
      <c r="F982" s="81" t="s">
        <v>4239</v>
      </c>
      <c r="G982" s="81" t="s">
        <v>126</v>
      </c>
      <c r="H982" s="81" t="s">
        <v>4240</v>
      </c>
    </row>
    <row r="983" customFormat="false" ht="15" hidden="false" customHeight="false" outlineLevel="0" collapsed="false">
      <c r="A983" s="81" t="n">
        <v>982</v>
      </c>
      <c r="B983" s="81" t="s">
        <v>7</v>
      </c>
      <c r="C983" s="81" t="s">
        <v>4241</v>
      </c>
      <c r="D983" s="81" t="s">
        <v>4242</v>
      </c>
      <c r="E983" s="82" t="s">
        <v>4243</v>
      </c>
      <c r="F983" s="81" t="s">
        <v>4244</v>
      </c>
      <c r="G983" s="81" t="s">
        <v>126</v>
      </c>
      <c r="H983" s="81"/>
    </row>
    <row r="984" customFormat="false" ht="15" hidden="false" customHeight="false" outlineLevel="0" collapsed="false">
      <c r="A984" s="81" t="n">
        <v>983</v>
      </c>
      <c r="B984" s="81" t="s">
        <v>7</v>
      </c>
      <c r="C984" s="81" t="s">
        <v>4245</v>
      </c>
      <c r="D984" s="81" t="s">
        <v>4246</v>
      </c>
      <c r="E984" s="82" t="s">
        <v>4247</v>
      </c>
      <c r="F984" s="81" t="s">
        <v>4248</v>
      </c>
      <c r="G984" s="81" t="s">
        <v>126</v>
      </c>
      <c r="H984" s="81" t="s">
        <v>845</v>
      </c>
    </row>
    <row r="985" customFormat="false" ht="15" hidden="false" customHeight="false" outlineLevel="0" collapsed="false">
      <c r="A985" s="81" t="n">
        <v>984</v>
      </c>
      <c r="B985" s="81" t="s">
        <v>7</v>
      </c>
      <c r="C985" s="81" t="s">
        <v>4249</v>
      </c>
      <c r="D985" s="81" t="s">
        <v>4250</v>
      </c>
      <c r="E985" s="82" t="s">
        <v>4251</v>
      </c>
      <c r="F985" s="81" t="s">
        <v>4252</v>
      </c>
      <c r="G985" s="81" t="s">
        <v>126</v>
      </c>
      <c r="H985" s="81" t="s">
        <v>845</v>
      </c>
    </row>
    <row r="986" customFormat="false" ht="15" hidden="false" customHeight="false" outlineLevel="0" collapsed="false">
      <c r="A986" s="81" t="n">
        <v>985</v>
      </c>
      <c r="B986" s="81" t="s">
        <v>7</v>
      </c>
      <c r="C986" s="81" t="s">
        <v>4253</v>
      </c>
      <c r="D986" s="81" t="s">
        <v>4254</v>
      </c>
      <c r="E986" s="82" t="s">
        <v>4255</v>
      </c>
      <c r="F986" s="81" t="s">
        <v>4256</v>
      </c>
      <c r="G986" s="81" t="s">
        <v>126</v>
      </c>
      <c r="H986" s="81" t="s">
        <v>4257</v>
      </c>
    </row>
    <row r="987" customFormat="false" ht="15" hidden="false" customHeight="false" outlineLevel="0" collapsed="false">
      <c r="A987" s="81" t="n">
        <v>986</v>
      </c>
      <c r="B987" s="81" t="s">
        <v>7</v>
      </c>
      <c r="C987" s="81" t="s">
        <v>4258</v>
      </c>
      <c r="D987" s="81" t="s">
        <v>4259</v>
      </c>
      <c r="E987" s="82" t="s">
        <v>4260</v>
      </c>
      <c r="F987" s="81" t="s">
        <v>4261</v>
      </c>
      <c r="G987" s="81" t="s">
        <v>126</v>
      </c>
      <c r="H987" s="81" t="s">
        <v>4262</v>
      </c>
    </row>
    <row r="988" customFormat="false" ht="15" hidden="false" customHeight="false" outlineLevel="0" collapsed="false">
      <c r="A988" s="81" t="n">
        <v>987</v>
      </c>
      <c r="B988" s="81" t="s">
        <v>7</v>
      </c>
      <c r="C988" s="81" t="s">
        <v>4263</v>
      </c>
      <c r="D988" s="81" t="s">
        <v>4264</v>
      </c>
      <c r="E988" s="82" t="s">
        <v>4265</v>
      </c>
      <c r="F988" s="81" t="s">
        <v>4266</v>
      </c>
      <c r="G988" s="81" t="s">
        <v>126</v>
      </c>
      <c r="H988" s="81" t="s">
        <v>845</v>
      </c>
    </row>
    <row r="989" customFormat="false" ht="15" hidden="false" customHeight="false" outlineLevel="0" collapsed="false">
      <c r="A989" s="81" t="n">
        <v>988</v>
      </c>
      <c r="B989" s="81" t="s">
        <v>7</v>
      </c>
      <c r="C989" s="81" t="s">
        <v>4267</v>
      </c>
      <c r="D989" s="81" t="s">
        <v>4268</v>
      </c>
      <c r="E989" s="82" t="s">
        <v>4269</v>
      </c>
      <c r="F989" s="81" t="s">
        <v>4270</v>
      </c>
      <c r="G989" s="81" t="s">
        <v>126</v>
      </c>
      <c r="H989" s="81" t="s">
        <v>845</v>
      </c>
    </row>
    <row r="990" customFormat="false" ht="15" hidden="false" customHeight="false" outlineLevel="0" collapsed="false">
      <c r="A990" s="81" t="n">
        <v>989</v>
      </c>
      <c r="B990" s="81" t="s">
        <v>7</v>
      </c>
      <c r="C990" s="81" t="s">
        <v>4271</v>
      </c>
      <c r="D990" s="81" t="s">
        <v>4272</v>
      </c>
      <c r="E990" s="82" t="s">
        <v>4273</v>
      </c>
      <c r="F990" s="81" t="s">
        <v>4274</v>
      </c>
      <c r="G990" s="81" t="s">
        <v>126</v>
      </c>
      <c r="H990" s="81" t="s">
        <v>4275</v>
      </c>
    </row>
    <row r="991" customFormat="false" ht="15" hidden="false" customHeight="false" outlineLevel="0" collapsed="false">
      <c r="A991" s="81" t="n">
        <v>990</v>
      </c>
      <c r="B991" s="81" t="s">
        <v>7</v>
      </c>
      <c r="C991" s="81" t="s">
        <v>4276</v>
      </c>
      <c r="D991" s="81" t="s">
        <v>4277</v>
      </c>
      <c r="E991" s="82" t="s">
        <v>4278</v>
      </c>
      <c r="F991" s="81" t="s">
        <v>4279</v>
      </c>
      <c r="G991" s="81" t="s">
        <v>126</v>
      </c>
      <c r="H991" s="81"/>
    </row>
    <row r="992" customFormat="false" ht="15" hidden="false" customHeight="false" outlineLevel="0" collapsed="false">
      <c r="A992" s="81" t="n">
        <v>991</v>
      </c>
      <c r="B992" s="81" t="s">
        <v>7</v>
      </c>
      <c r="C992" s="81" t="s">
        <v>4280</v>
      </c>
      <c r="D992" s="81" t="s">
        <v>4281</v>
      </c>
      <c r="E992" s="82" t="s">
        <v>4282</v>
      </c>
      <c r="F992" s="81" t="s">
        <v>4283</v>
      </c>
      <c r="G992" s="81" t="s">
        <v>126</v>
      </c>
      <c r="H992" s="81" t="s">
        <v>4284</v>
      </c>
    </row>
    <row r="993" customFormat="false" ht="15" hidden="false" customHeight="false" outlineLevel="0" collapsed="false">
      <c r="A993" s="81" t="n">
        <v>992</v>
      </c>
      <c r="B993" s="81" t="s">
        <v>7</v>
      </c>
      <c r="C993" s="81" t="s">
        <v>4285</v>
      </c>
      <c r="D993" s="81" t="s">
        <v>4286</v>
      </c>
      <c r="E993" s="82" t="s">
        <v>4287</v>
      </c>
      <c r="F993" s="81" t="s">
        <v>4288</v>
      </c>
      <c r="G993" s="81" t="s">
        <v>126</v>
      </c>
      <c r="H993" s="81" t="s">
        <v>4289</v>
      </c>
    </row>
    <row r="994" customFormat="false" ht="15" hidden="false" customHeight="false" outlineLevel="0" collapsed="false">
      <c r="A994" s="81" t="n">
        <v>993</v>
      </c>
      <c r="B994" s="81" t="s">
        <v>7</v>
      </c>
      <c r="C994" s="81" t="s">
        <v>4290</v>
      </c>
      <c r="D994" s="81" t="s">
        <v>4291</v>
      </c>
      <c r="E994" s="82" t="s">
        <v>4292</v>
      </c>
      <c r="F994" s="81" t="s">
        <v>4293</v>
      </c>
      <c r="G994" s="81" t="s">
        <v>126</v>
      </c>
      <c r="H994" s="81" t="s">
        <v>4294</v>
      </c>
    </row>
    <row r="995" customFormat="false" ht="15" hidden="false" customHeight="false" outlineLevel="0" collapsed="false">
      <c r="A995" s="81" t="n">
        <v>994</v>
      </c>
      <c r="B995" s="81" t="s">
        <v>7</v>
      </c>
      <c r="C995" s="81" t="s">
        <v>4295</v>
      </c>
      <c r="D995" s="81" t="s">
        <v>4296</v>
      </c>
      <c r="E995" s="82" t="s">
        <v>4297</v>
      </c>
      <c r="F995" s="81" t="s">
        <v>4298</v>
      </c>
      <c r="G995" s="81" t="s">
        <v>128</v>
      </c>
      <c r="H995" s="81"/>
    </row>
    <row r="996" customFormat="false" ht="15" hidden="false" customHeight="false" outlineLevel="0" collapsed="false">
      <c r="A996" s="81" t="n">
        <v>995</v>
      </c>
      <c r="B996" s="81" t="s">
        <v>7</v>
      </c>
      <c r="C996" s="81" t="s">
        <v>4299</v>
      </c>
      <c r="D996" s="81" t="s">
        <v>4300</v>
      </c>
      <c r="E996" s="82" t="s">
        <v>4301</v>
      </c>
      <c r="F996" s="81" t="s">
        <v>4302</v>
      </c>
      <c r="G996" s="81" t="s">
        <v>128</v>
      </c>
      <c r="H996" s="81"/>
    </row>
    <row r="997" customFormat="false" ht="15" hidden="false" customHeight="false" outlineLevel="0" collapsed="false">
      <c r="A997" s="81" t="n">
        <v>996</v>
      </c>
      <c r="B997" s="81" t="s">
        <v>7</v>
      </c>
      <c r="C997" s="81" t="s">
        <v>4303</v>
      </c>
      <c r="D997" s="81" t="s">
        <v>4304</v>
      </c>
      <c r="E997" s="82" t="s">
        <v>4305</v>
      </c>
      <c r="F997" s="81" t="s">
        <v>4306</v>
      </c>
      <c r="G997" s="81" t="s">
        <v>128</v>
      </c>
      <c r="H997" s="81"/>
    </row>
    <row r="998" customFormat="false" ht="15" hidden="false" customHeight="false" outlineLevel="0" collapsed="false">
      <c r="A998" s="81" t="n">
        <v>997</v>
      </c>
      <c r="B998" s="81" t="s">
        <v>7</v>
      </c>
      <c r="C998" s="81" t="s">
        <v>4307</v>
      </c>
      <c r="D998" s="81" t="s">
        <v>4308</v>
      </c>
      <c r="E998" s="82" t="s">
        <v>4309</v>
      </c>
      <c r="F998" s="81" t="s">
        <v>4310</v>
      </c>
      <c r="G998" s="81" t="s">
        <v>128</v>
      </c>
      <c r="H998" s="81"/>
    </row>
    <row r="999" customFormat="false" ht="15" hidden="false" customHeight="false" outlineLevel="0" collapsed="false">
      <c r="A999" s="81" t="n">
        <v>998</v>
      </c>
      <c r="B999" s="81" t="s">
        <v>7</v>
      </c>
      <c r="C999" s="81" t="s">
        <v>4311</v>
      </c>
      <c r="D999" s="81" t="s">
        <v>4312</v>
      </c>
      <c r="E999" s="82" t="s">
        <v>4313</v>
      </c>
      <c r="F999" s="81" t="s">
        <v>4314</v>
      </c>
      <c r="G999" s="81" t="s">
        <v>128</v>
      </c>
      <c r="H999" s="81"/>
    </row>
    <row r="1000" customFormat="false" ht="15" hidden="false" customHeight="false" outlineLevel="0" collapsed="false">
      <c r="A1000" s="81" t="n">
        <v>999</v>
      </c>
      <c r="B1000" s="81" t="s">
        <v>7</v>
      </c>
      <c r="C1000" s="81" t="s">
        <v>4315</v>
      </c>
      <c r="D1000" s="81" t="s">
        <v>4316</v>
      </c>
      <c r="E1000" s="82" t="s">
        <v>4317</v>
      </c>
      <c r="F1000" s="81" t="s">
        <v>4318</v>
      </c>
      <c r="G1000" s="81" t="s">
        <v>128</v>
      </c>
      <c r="H1000" s="81"/>
    </row>
    <row r="1001" customFormat="false" ht="15" hidden="false" customHeight="false" outlineLevel="0" collapsed="false">
      <c r="A1001" s="81" t="n">
        <v>1000</v>
      </c>
      <c r="B1001" s="81" t="s">
        <v>7</v>
      </c>
      <c r="C1001" s="81" t="s">
        <v>4319</v>
      </c>
      <c r="D1001" s="81" t="s">
        <v>4320</v>
      </c>
      <c r="E1001" s="82" t="s">
        <v>4321</v>
      </c>
      <c r="F1001" s="81" t="s">
        <v>4322</v>
      </c>
      <c r="G1001" s="81" t="s">
        <v>128</v>
      </c>
      <c r="H1001" s="81"/>
    </row>
    <row r="1002" customFormat="false" ht="15" hidden="false" customHeight="false" outlineLevel="0" collapsed="false">
      <c r="A1002" s="81" t="n">
        <v>1001</v>
      </c>
      <c r="B1002" s="81" t="s">
        <v>7</v>
      </c>
      <c r="C1002" s="81" t="s">
        <v>4323</v>
      </c>
      <c r="D1002" s="81" t="s">
        <v>4324</v>
      </c>
      <c r="E1002" s="82" t="s">
        <v>4325</v>
      </c>
      <c r="F1002" s="81" t="s">
        <v>4326</v>
      </c>
      <c r="G1002" s="81" t="s">
        <v>128</v>
      </c>
      <c r="H1002" s="81"/>
    </row>
    <row r="1003" customFormat="false" ht="15" hidden="false" customHeight="false" outlineLevel="0" collapsed="false">
      <c r="A1003" s="81" t="n">
        <v>1002</v>
      </c>
      <c r="B1003" s="81" t="s">
        <v>7</v>
      </c>
      <c r="C1003" s="81" t="s">
        <v>4327</v>
      </c>
      <c r="D1003" s="81" t="s">
        <v>4328</v>
      </c>
      <c r="E1003" s="82" t="s">
        <v>4329</v>
      </c>
      <c r="F1003" s="81" t="s">
        <v>4330</v>
      </c>
      <c r="G1003" s="81" t="s">
        <v>128</v>
      </c>
      <c r="H1003" s="81"/>
    </row>
    <row r="1004" customFormat="false" ht="15" hidden="false" customHeight="false" outlineLevel="0" collapsed="false">
      <c r="A1004" s="81" t="n">
        <v>1003</v>
      </c>
      <c r="B1004" s="81" t="s">
        <v>7</v>
      </c>
      <c r="C1004" s="81" t="s">
        <v>4331</v>
      </c>
      <c r="D1004" s="81" t="s">
        <v>4332</v>
      </c>
      <c r="E1004" s="82" t="s">
        <v>4333</v>
      </c>
      <c r="F1004" s="81" t="s">
        <v>4334</v>
      </c>
      <c r="G1004" s="81" t="s">
        <v>128</v>
      </c>
      <c r="H1004" s="81"/>
    </row>
    <row r="1005" customFormat="false" ht="15" hidden="false" customHeight="false" outlineLevel="0" collapsed="false">
      <c r="A1005" s="81" t="n">
        <v>1004</v>
      </c>
      <c r="B1005" s="81" t="s">
        <v>7</v>
      </c>
      <c r="C1005" s="81" t="s">
        <v>4335</v>
      </c>
      <c r="D1005" s="81" t="s">
        <v>4336</v>
      </c>
      <c r="E1005" s="82" t="s">
        <v>4337</v>
      </c>
      <c r="F1005" s="81" t="s">
        <v>4338</v>
      </c>
      <c r="G1005" s="81" t="s">
        <v>128</v>
      </c>
      <c r="H1005" s="81"/>
    </row>
    <row r="1006" customFormat="false" ht="15" hidden="false" customHeight="false" outlineLevel="0" collapsed="false">
      <c r="A1006" s="81" t="n">
        <v>1005</v>
      </c>
      <c r="B1006" s="81" t="s">
        <v>7</v>
      </c>
      <c r="C1006" s="81" t="s">
        <v>4339</v>
      </c>
      <c r="D1006" s="81" t="s">
        <v>4340</v>
      </c>
      <c r="E1006" s="82" t="s">
        <v>4341</v>
      </c>
      <c r="F1006" s="81" t="s">
        <v>4342</v>
      </c>
      <c r="G1006" s="81" t="s">
        <v>128</v>
      </c>
      <c r="H1006" s="81"/>
    </row>
    <row r="1007" customFormat="false" ht="15" hidden="false" customHeight="false" outlineLevel="0" collapsed="false">
      <c r="A1007" s="81" t="n">
        <v>1006</v>
      </c>
      <c r="B1007" s="81" t="s">
        <v>7</v>
      </c>
      <c r="C1007" s="81" t="s">
        <v>4343</v>
      </c>
      <c r="D1007" s="81" t="s">
        <v>4344</v>
      </c>
      <c r="E1007" s="82" t="s">
        <v>4345</v>
      </c>
      <c r="F1007" s="81" t="s">
        <v>4346</v>
      </c>
      <c r="G1007" s="81" t="s">
        <v>128</v>
      </c>
      <c r="H1007" s="81"/>
    </row>
    <row r="1008" customFormat="false" ht="15" hidden="false" customHeight="false" outlineLevel="0" collapsed="false">
      <c r="A1008" s="81" t="n">
        <v>1007</v>
      </c>
      <c r="B1008" s="81" t="s">
        <v>7</v>
      </c>
      <c r="C1008" s="81" t="s">
        <v>4347</v>
      </c>
      <c r="D1008" s="81" t="s">
        <v>4348</v>
      </c>
      <c r="E1008" s="82" t="s">
        <v>4349</v>
      </c>
      <c r="F1008" s="81" t="s">
        <v>4350</v>
      </c>
      <c r="G1008" s="81" t="s">
        <v>128</v>
      </c>
      <c r="H1008" s="81"/>
    </row>
    <row r="1009" customFormat="false" ht="15" hidden="false" customHeight="false" outlineLevel="0" collapsed="false">
      <c r="A1009" s="81" t="n">
        <v>1008</v>
      </c>
      <c r="B1009" s="81" t="s">
        <v>7</v>
      </c>
      <c r="C1009" s="81" t="s">
        <v>4351</v>
      </c>
      <c r="D1009" s="81" t="s">
        <v>4352</v>
      </c>
      <c r="E1009" s="82" t="s">
        <v>4353</v>
      </c>
      <c r="F1009" s="81" t="s">
        <v>4354</v>
      </c>
      <c r="G1009" s="81" t="s">
        <v>128</v>
      </c>
      <c r="H1009" s="81"/>
    </row>
    <row r="1010" customFormat="false" ht="15" hidden="false" customHeight="false" outlineLevel="0" collapsed="false">
      <c r="A1010" s="81" t="n">
        <v>1009</v>
      </c>
      <c r="B1010" s="81" t="s">
        <v>7</v>
      </c>
      <c r="C1010" s="81" t="s">
        <v>4355</v>
      </c>
      <c r="D1010" s="81" t="s">
        <v>4356</v>
      </c>
      <c r="E1010" s="82" t="s">
        <v>4357</v>
      </c>
      <c r="F1010" s="81" t="s">
        <v>4358</v>
      </c>
      <c r="G1010" s="81" t="s">
        <v>128</v>
      </c>
      <c r="H1010" s="81" t="s">
        <v>4359</v>
      </c>
    </row>
    <row r="1011" customFormat="false" ht="15" hidden="false" customHeight="false" outlineLevel="0" collapsed="false">
      <c r="A1011" s="81" t="n">
        <v>1010</v>
      </c>
      <c r="B1011" s="81" t="s">
        <v>7</v>
      </c>
      <c r="C1011" s="81" t="s">
        <v>4360</v>
      </c>
      <c r="D1011" s="81" t="s">
        <v>4361</v>
      </c>
      <c r="E1011" s="82" t="s">
        <v>4362</v>
      </c>
      <c r="F1011" s="81" t="s">
        <v>4363</v>
      </c>
      <c r="G1011" s="81" t="s">
        <v>128</v>
      </c>
      <c r="H1011" s="81"/>
    </row>
    <row r="1012" customFormat="false" ht="15" hidden="false" customHeight="false" outlineLevel="0" collapsed="false">
      <c r="A1012" s="81" t="n">
        <v>1011</v>
      </c>
      <c r="B1012" s="81" t="s">
        <v>7</v>
      </c>
      <c r="C1012" s="81" t="s">
        <v>4364</v>
      </c>
      <c r="D1012" s="81" t="s">
        <v>4365</v>
      </c>
      <c r="E1012" s="82" t="s">
        <v>4366</v>
      </c>
      <c r="F1012" s="81" t="s">
        <v>4367</v>
      </c>
      <c r="G1012" s="81" t="s">
        <v>128</v>
      </c>
      <c r="H1012" s="81"/>
    </row>
    <row r="1013" customFormat="false" ht="15" hidden="false" customHeight="false" outlineLevel="0" collapsed="false">
      <c r="A1013" s="81" t="n">
        <v>1012</v>
      </c>
      <c r="B1013" s="81" t="s">
        <v>7</v>
      </c>
      <c r="C1013" s="81" t="s">
        <v>4368</v>
      </c>
      <c r="D1013" s="81" t="s">
        <v>4369</v>
      </c>
      <c r="E1013" s="82" t="s">
        <v>4370</v>
      </c>
      <c r="F1013" s="81" t="s">
        <v>4371</v>
      </c>
      <c r="G1013" s="81" t="s">
        <v>128</v>
      </c>
      <c r="H1013" s="81"/>
    </row>
    <row r="1014" customFormat="false" ht="15" hidden="false" customHeight="false" outlineLevel="0" collapsed="false">
      <c r="A1014" s="81" t="n">
        <v>1013</v>
      </c>
      <c r="B1014" s="81" t="s">
        <v>7</v>
      </c>
      <c r="C1014" s="81" t="s">
        <v>4372</v>
      </c>
      <c r="D1014" s="81" t="s">
        <v>4373</v>
      </c>
      <c r="E1014" s="82" t="s">
        <v>4374</v>
      </c>
      <c r="F1014" s="81" t="s">
        <v>4375</v>
      </c>
      <c r="G1014" s="81" t="s">
        <v>128</v>
      </c>
      <c r="H1014" s="81"/>
    </row>
    <row r="1015" customFormat="false" ht="15" hidden="false" customHeight="false" outlineLevel="0" collapsed="false">
      <c r="A1015" s="81" t="n">
        <v>1014</v>
      </c>
      <c r="B1015" s="81" t="s">
        <v>7</v>
      </c>
      <c r="C1015" s="81" t="s">
        <v>4376</v>
      </c>
      <c r="D1015" s="81" t="s">
        <v>4377</v>
      </c>
      <c r="E1015" s="82" t="s">
        <v>4378</v>
      </c>
      <c r="F1015" s="81" t="s">
        <v>4379</v>
      </c>
      <c r="G1015" s="81" t="s">
        <v>130</v>
      </c>
      <c r="H1015" s="81" t="s">
        <v>4380</v>
      </c>
    </row>
    <row r="1016" customFormat="false" ht="15" hidden="false" customHeight="false" outlineLevel="0" collapsed="false">
      <c r="A1016" s="81" t="n">
        <v>1015</v>
      </c>
      <c r="B1016" s="81" t="s">
        <v>7</v>
      </c>
      <c r="C1016" s="81" t="s">
        <v>4381</v>
      </c>
      <c r="D1016" s="81" t="s">
        <v>4382</v>
      </c>
      <c r="E1016" s="82" t="s">
        <v>4383</v>
      </c>
      <c r="F1016" s="81" t="s">
        <v>4384</v>
      </c>
      <c r="G1016" s="81" t="s">
        <v>130</v>
      </c>
      <c r="H1016" s="81" t="s">
        <v>4385</v>
      </c>
    </row>
    <row r="1017" customFormat="false" ht="15" hidden="false" customHeight="false" outlineLevel="0" collapsed="false">
      <c r="A1017" s="81" t="n">
        <v>1016</v>
      </c>
      <c r="B1017" s="81" t="s">
        <v>7</v>
      </c>
      <c r="C1017" s="81" t="s">
        <v>4386</v>
      </c>
      <c r="D1017" s="81" t="s">
        <v>4387</v>
      </c>
      <c r="E1017" s="82" t="s">
        <v>4388</v>
      </c>
      <c r="F1017" s="81" t="s">
        <v>4389</v>
      </c>
      <c r="G1017" s="81" t="s">
        <v>130</v>
      </c>
      <c r="H1017" s="81" t="s">
        <v>4390</v>
      </c>
    </row>
    <row r="1018" customFormat="false" ht="15" hidden="false" customHeight="false" outlineLevel="0" collapsed="false">
      <c r="A1018" s="81" t="n">
        <v>1017</v>
      </c>
      <c r="B1018" s="81" t="s">
        <v>7</v>
      </c>
      <c r="C1018" s="81" t="s">
        <v>4391</v>
      </c>
      <c r="D1018" s="81" t="s">
        <v>4392</v>
      </c>
      <c r="E1018" s="82" t="s">
        <v>4393</v>
      </c>
      <c r="F1018" s="81" t="s">
        <v>4394</v>
      </c>
      <c r="G1018" s="81" t="s">
        <v>130</v>
      </c>
      <c r="H1018" s="81" t="s">
        <v>4395</v>
      </c>
    </row>
    <row r="1019" customFormat="false" ht="15" hidden="false" customHeight="false" outlineLevel="0" collapsed="false">
      <c r="A1019" s="81" t="n">
        <v>1018</v>
      </c>
      <c r="B1019" s="81" t="s">
        <v>7</v>
      </c>
      <c r="C1019" s="81" t="s">
        <v>4396</v>
      </c>
      <c r="D1019" s="81" t="s">
        <v>2226</v>
      </c>
      <c r="E1019" s="82" t="s">
        <v>2227</v>
      </c>
      <c r="F1019" s="81" t="s">
        <v>2228</v>
      </c>
      <c r="G1019" s="81" t="s">
        <v>130</v>
      </c>
      <c r="H1019" s="81" t="s">
        <v>4397</v>
      </c>
    </row>
    <row r="1020" customFormat="false" ht="15" hidden="false" customHeight="false" outlineLevel="0" collapsed="false">
      <c r="A1020" s="81" t="n">
        <v>1019</v>
      </c>
      <c r="B1020" s="81" t="s">
        <v>7</v>
      </c>
      <c r="C1020" s="81" t="s">
        <v>4398</v>
      </c>
      <c r="D1020" s="81" t="s">
        <v>4399</v>
      </c>
      <c r="E1020" s="82" t="s">
        <v>4400</v>
      </c>
      <c r="F1020" s="81" t="s">
        <v>4401</v>
      </c>
      <c r="G1020" s="81" t="s">
        <v>130</v>
      </c>
      <c r="H1020" s="81"/>
    </row>
    <row r="1021" customFormat="false" ht="15" hidden="false" customHeight="false" outlineLevel="0" collapsed="false">
      <c r="A1021" s="81" t="n">
        <v>1020</v>
      </c>
      <c r="B1021" s="81" t="s">
        <v>7</v>
      </c>
      <c r="C1021" s="81" t="s">
        <v>4402</v>
      </c>
      <c r="D1021" s="81" t="s">
        <v>4403</v>
      </c>
      <c r="E1021" s="82" t="s">
        <v>4404</v>
      </c>
      <c r="F1021" s="81" t="s">
        <v>4405</v>
      </c>
      <c r="G1021" s="81" t="s">
        <v>130</v>
      </c>
      <c r="H1021" s="81" t="s">
        <v>4406</v>
      </c>
    </row>
    <row r="1022" customFormat="false" ht="15" hidden="false" customHeight="false" outlineLevel="0" collapsed="false">
      <c r="A1022" s="81" t="n">
        <v>1021</v>
      </c>
      <c r="B1022" s="81" t="s">
        <v>7</v>
      </c>
      <c r="C1022" s="81" t="s">
        <v>4407</v>
      </c>
      <c r="D1022" s="81" t="s">
        <v>4408</v>
      </c>
      <c r="E1022" s="82" t="s">
        <v>4409</v>
      </c>
      <c r="F1022" s="81" t="s">
        <v>4410</v>
      </c>
      <c r="G1022" s="81" t="s">
        <v>130</v>
      </c>
      <c r="H1022" s="81"/>
    </row>
    <row r="1023" customFormat="false" ht="15" hidden="false" customHeight="false" outlineLevel="0" collapsed="false">
      <c r="A1023" s="81" t="n">
        <v>1022</v>
      </c>
      <c r="B1023" s="81" t="s">
        <v>7</v>
      </c>
      <c r="C1023" s="81" t="s">
        <v>4411</v>
      </c>
      <c r="D1023" s="81" t="s">
        <v>4412</v>
      </c>
      <c r="E1023" s="82" t="s">
        <v>4413</v>
      </c>
      <c r="F1023" s="81" t="s">
        <v>4414</v>
      </c>
      <c r="G1023" s="81" t="s">
        <v>130</v>
      </c>
      <c r="H1023" s="81" t="s">
        <v>4415</v>
      </c>
    </row>
    <row r="1024" customFormat="false" ht="15" hidden="false" customHeight="false" outlineLevel="0" collapsed="false">
      <c r="A1024" s="81" t="n">
        <v>1023</v>
      </c>
      <c r="B1024" s="81" t="s">
        <v>7</v>
      </c>
      <c r="C1024" s="81" t="s">
        <v>4416</v>
      </c>
      <c r="D1024" s="81" t="s">
        <v>4417</v>
      </c>
      <c r="E1024" s="82" t="s">
        <v>4418</v>
      </c>
      <c r="F1024" s="81" t="s">
        <v>4419</v>
      </c>
      <c r="G1024" s="81" t="s">
        <v>130</v>
      </c>
      <c r="H1024" s="81" t="s">
        <v>4420</v>
      </c>
    </row>
    <row r="1025" customFormat="false" ht="15" hidden="false" customHeight="false" outlineLevel="0" collapsed="false">
      <c r="A1025" s="81" t="n">
        <v>1024</v>
      </c>
      <c r="B1025" s="81" t="s">
        <v>7</v>
      </c>
      <c r="C1025" s="81" t="s">
        <v>4421</v>
      </c>
      <c r="D1025" s="81" t="s">
        <v>4422</v>
      </c>
      <c r="E1025" s="82" t="s">
        <v>4423</v>
      </c>
      <c r="F1025" s="81" t="s">
        <v>4424</v>
      </c>
      <c r="G1025" s="81" t="s">
        <v>130</v>
      </c>
      <c r="H1025" s="81" t="s">
        <v>4425</v>
      </c>
    </row>
    <row r="1026" customFormat="false" ht="15" hidden="false" customHeight="false" outlineLevel="0" collapsed="false">
      <c r="A1026" s="81" t="n">
        <v>1025</v>
      </c>
      <c r="B1026" s="81" t="s">
        <v>7</v>
      </c>
      <c r="C1026" s="81" t="s">
        <v>4426</v>
      </c>
      <c r="D1026" s="81" t="s">
        <v>4427</v>
      </c>
      <c r="E1026" s="82" t="s">
        <v>4428</v>
      </c>
      <c r="F1026" s="81" t="s">
        <v>4429</v>
      </c>
      <c r="G1026" s="81" t="s">
        <v>130</v>
      </c>
      <c r="H1026" s="81"/>
    </row>
    <row r="1027" customFormat="false" ht="15" hidden="false" customHeight="false" outlineLevel="0" collapsed="false">
      <c r="A1027" s="81" t="n">
        <v>1026</v>
      </c>
      <c r="B1027" s="81" t="s">
        <v>7</v>
      </c>
      <c r="C1027" s="81" t="s">
        <v>4430</v>
      </c>
      <c r="D1027" s="81" t="s">
        <v>4431</v>
      </c>
      <c r="E1027" s="82" t="s">
        <v>4432</v>
      </c>
      <c r="F1027" s="81" t="s">
        <v>4433</v>
      </c>
      <c r="G1027" s="81" t="s">
        <v>130</v>
      </c>
      <c r="H1027" s="81"/>
    </row>
    <row r="1028" customFormat="false" ht="15" hidden="false" customHeight="false" outlineLevel="0" collapsed="false">
      <c r="A1028" s="81" t="n">
        <v>1027</v>
      </c>
      <c r="B1028" s="81" t="s">
        <v>7</v>
      </c>
      <c r="C1028" s="81" t="s">
        <v>4434</v>
      </c>
      <c r="D1028" s="81" t="s">
        <v>4435</v>
      </c>
      <c r="E1028" s="82" t="s">
        <v>4436</v>
      </c>
      <c r="F1028" s="81" t="s">
        <v>4437</v>
      </c>
      <c r="G1028" s="81" t="s">
        <v>130</v>
      </c>
      <c r="H1028" s="81" t="s">
        <v>4438</v>
      </c>
    </row>
    <row r="1029" customFormat="false" ht="15" hidden="false" customHeight="false" outlineLevel="0" collapsed="false">
      <c r="A1029" s="81" t="n">
        <v>1028</v>
      </c>
      <c r="B1029" s="81" t="s">
        <v>7</v>
      </c>
      <c r="C1029" s="81" t="s">
        <v>4439</v>
      </c>
      <c r="D1029" s="81" t="s">
        <v>4440</v>
      </c>
      <c r="E1029" s="82" t="s">
        <v>4441</v>
      </c>
      <c r="F1029" s="81" t="s">
        <v>4442</v>
      </c>
      <c r="G1029" s="81" t="s">
        <v>130</v>
      </c>
      <c r="H1029" s="81" t="s">
        <v>4443</v>
      </c>
    </row>
    <row r="1030" customFormat="false" ht="15" hidden="false" customHeight="false" outlineLevel="0" collapsed="false">
      <c r="A1030" s="81" t="n">
        <v>1029</v>
      </c>
      <c r="B1030" s="81" t="s">
        <v>7</v>
      </c>
      <c r="C1030" s="81" t="s">
        <v>4444</v>
      </c>
      <c r="D1030" s="81" t="s">
        <v>4445</v>
      </c>
      <c r="E1030" s="82" t="s">
        <v>4446</v>
      </c>
      <c r="F1030" s="81" t="s">
        <v>4447</v>
      </c>
      <c r="G1030" s="81" t="s">
        <v>130</v>
      </c>
      <c r="H1030" s="81"/>
    </row>
    <row r="1031" customFormat="false" ht="15" hidden="false" customHeight="false" outlineLevel="0" collapsed="false">
      <c r="A1031" s="81" t="n">
        <v>1030</v>
      </c>
      <c r="B1031" s="81" t="s">
        <v>7</v>
      </c>
      <c r="C1031" s="81" t="s">
        <v>4448</v>
      </c>
      <c r="D1031" s="81" t="s">
        <v>4449</v>
      </c>
      <c r="E1031" s="82" t="s">
        <v>4450</v>
      </c>
      <c r="F1031" s="81" t="s">
        <v>4451</v>
      </c>
      <c r="G1031" s="81" t="s">
        <v>130</v>
      </c>
      <c r="H1031" s="81" t="s">
        <v>4452</v>
      </c>
    </row>
    <row r="1032" customFormat="false" ht="15" hidden="false" customHeight="false" outlineLevel="0" collapsed="false">
      <c r="A1032" s="81" t="n">
        <v>1031</v>
      </c>
      <c r="B1032" s="81" t="s">
        <v>7</v>
      </c>
      <c r="C1032" s="81" t="s">
        <v>4453</v>
      </c>
      <c r="D1032" s="81" t="s">
        <v>4454</v>
      </c>
      <c r="E1032" s="82" t="s">
        <v>4455</v>
      </c>
      <c r="F1032" s="81" t="s">
        <v>4456</v>
      </c>
      <c r="G1032" s="81" t="s">
        <v>130</v>
      </c>
      <c r="H1032" s="81" t="s">
        <v>4457</v>
      </c>
    </row>
    <row r="1033" customFormat="false" ht="15" hidden="false" customHeight="false" outlineLevel="0" collapsed="false">
      <c r="A1033" s="81" t="n">
        <v>1032</v>
      </c>
      <c r="B1033" s="81" t="s">
        <v>7</v>
      </c>
      <c r="C1033" s="81" t="s">
        <v>4458</v>
      </c>
      <c r="D1033" s="81" t="s">
        <v>4459</v>
      </c>
      <c r="E1033" s="82" t="s">
        <v>4460</v>
      </c>
      <c r="F1033" s="81" t="s">
        <v>4461</v>
      </c>
      <c r="G1033" s="81" t="s">
        <v>130</v>
      </c>
      <c r="H1033" s="81" t="s">
        <v>4462</v>
      </c>
    </row>
    <row r="1034" customFormat="false" ht="15" hidden="false" customHeight="false" outlineLevel="0" collapsed="false">
      <c r="A1034" s="81" t="n">
        <v>1033</v>
      </c>
      <c r="B1034" s="81" t="s">
        <v>7</v>
      </c>
      <c r="C1034" s="81" t="s">
        <v>4463</v>
      </c>
      <c r="D1034" s="81" t="s">
        <v>4464</v>
      </c>
      <c r="E1034" s="82" t="s">
        <v>4465</v>
      </c>
      <c r="F1034" s="81" t="s">
        <v>4466</v>
      </c>
      <c r="G1034" s="81" t="s">
        <v>130</v>
      </c>
      <c r="H1034" s="81" t="s">
        <v>3410</v>
      </c>
    </row>
    <row r="1035" customFormat="false" ht="15" hidden="false" customHeight="false" outlineLevel="0" collapsed="false">
      <c r="A1035" s="81" t="n">
        <v>1034</v>
      </c>
      <c r="B1035" s="81" t="s">
        <v>7</v>
      </c>
      <c r="C1035" s="81" t="s">
        <v>4467</v>
      </c>
      <c r="D1035" s="81" t="s">
        <v>4468</v>
      </c>
      <c r="E1035" s="82" t="s">
        <v>4469</v>
      </c>
      <c r="F1035" s="81" t="s">
        <v>4470</v>
      </c>
      <c r="G1035" s="81" t="s">
        <v>132</v>
      </c>
      <c r="H1035" s="81" t="s">
        <v>4471</v>
      </c>
    </row>
    <row r="1036" customFormat="false" ht="15" hidden="false" customHeight="false" outlineLevel="0" collapsed="false">
      <c r="A1036" s="81" t="n">
        <v>1035</v>
      </c>
      <c r="B1036" s="81" t="s">
        <v>7</v>
      </c>
      <c r="C1036" s="81" t="s">
        <v>4472</v>
      </c>
      <c r="D1036" s="81" t="s">
        <v>4473</v>
      </c>
      <c r="E1036" s="82" t="s">
        <v>4474</v>
      </c>
      <c r="F1036" s="81" t="s">
        <v>4475</v>
      </c>
      <c r="G1036" s="81" t="s">
        <v>132</v>
      </c>
      <c r="H1036" s="81" t="s">
        <v>4476</v>
      </c>
    </row>
    <row r="1037" customFormat="false" ht="15" hidden="false" customHeight="false" outlineLevel="0" collapsed="false">
      <c r="A1037" s="81" t="n">
        <v>1036</v>
      </c>
      <c r="B1037" s="81" t="s">
        <v>7</v>
      </c>
      <c r="C1037" s="81" t="s">
        <v>4477</v>
      </c>
      <c r="D1037" s="81" t="s">
        <v>4478</v>
      </c>
      <c r="E1037" s="82" t="s">
        <v>4479</v>
      </c>
      <c r="F1037" s="81" t="s">
        <v>4480</v>
      </c>
      <c r="G1037" s="81" t="s">
        <v>132</v>
      </c>
      <c r="H1037" s="81" t="s">
        <v>4481</v>
      </c>
    </row>
    <row r="1038" customFormat="false" ht="15" hidden="false" customHeight="false" outlineLevel="0" collapsed="false">
      <c r="A1038" s="81" t="n">
        <v>1037</v>
      </c>
      <c r="B1038" s="81" t="s">
        <v>7</v>
      </c>
      <c r="C1038" s="81" t="s">
        <v>4482</v>
      </c>
      <c r="D1038" s="81" t="s">
        <v>4483</v>
      </c>
      <c r="E1038" s="82" t="s">
        <v>811</v>
      </c>
      <c r="F1038" s="81" t="s">
        <v>812</v>
      </c>
      <c r="G1038" s="81" t="s">
        <v>132</v>
      </c>
      <c r="H1038" s="81" t="s">
        <v>4484</v>
      </c>
    </row>
    <row r="1039" customFormat="false" ht="15" hidden="false" customHeight="false" outlineLevel="0" collapsed="false">
      <c r="A1039" s="81" t="n">
        <v>1038</v>
      </c>
      <c r="B1039" s="81" t="s">
        <v>7</v>
      </c>
      <c r="C1039" s="81" t="s">
        <v>4485</v>
      </c>
      <c r="D1039" s="81" t="s">
        <v>4486</v>
      </c>
      <c r="E1039" s="82" t="s">
        <v>4487</v>
      </c>
      <c r="F1039" s="81" t="s">
        <v>4488</v>
      </c>
      <c r="G1039" s="81" t="s">
        <v>132</v>
      </c>
      <c r="H1039" s="81" t="s">
        <v>4489</v>
      </c>
    </row>
    <row r="1040" customFormat="false" ht="15" hidden="false" customHeight="false" outlineLevel="0" collapsed="false">
      <c r="A1040" s="81" t="n">
        <v>1039</v>
      </c>
      <c r="B1040" s="81" t="s">
        <v>7</v>
      </c>
      <c r="C1040" s="81" t="s">
        <v>4490</v>
      </c>
      <c r="D1040" s="81" t="s">
        <v>4491</v>
      </c>
      <c r="E1040" s="82" t="s">
        <v>4492</v>
      </c>
      <c r="F1040" s="81" t="s">
        <v>4493</v>
      </c>
      <c r="G1040" s="81" t="s">
        <v>132</v>
      </c>
      <c r="H1040" s="81" t="s">
        <v>4494</v>
      </c>
    </row>
    <row r="1041" customFormat="false" ht="15" hidden="false" customHeight="false" outlineLevel="0" collapsed="false">
      <c r="A1041" s="81" t="n">
        <v>1040</v>
      </c>
      <c r="B1041" s="81" t="s">
        <v>7</v>
      </c>
      <c r="C1041" s="81" t="s">
        <v>4495</v>
      </c>
      <c r="D1041" s="81" t="s">
        <v>4496</v>
      </c>
      <c r="E1041" s="82" t="s">
        <v>4497</v>
      </c>
      <c r="F1041" s="81" t="s">
        <v>4498</v>
      </c>
      <c r="G1041" s="81" t="s">
        <v>132</v>
      </c>
      <c r="H1041" s="81" t="s">
        <v>4499</v>
      </c>
    </row>
    <row r="1042" customFormat="false" ht="15" hidden="false" customHeight="false" outlineLevel="0" collapsed="false">
      <c r="A1042" s="81" t="n">
        <v>1041</v>
      </c>
      <c r="B1042" s="81" t="s">
        <v>7</v>
      </c>
      <c r="C1042" s="81" t="s">
        <v>4500</v>
      </c>
      <c r="D1042" s="81" t="s">
        <v>4501</v>
      </c>
      <c r="E1042" s="82" t="s">
        <v>4502</v>
      </c>
      <c r="F1042" s="81" t="s">
        <v>4503</v>
      </c>
      <c r="G1042" s="81" t="s">
        <v>132</v>
      </c>
      <c r="H1042" s="81"/>
    </row>
    <row r="1043" customFormat="false" ht="15" hidden="false" customHeight="false" outlineLevel="0" collapsed="false">
      <c r="A1043" s="81" t="n">
        <v>1042</v>
      </c>
      <c r="B1043" s="81" t="s">
        <v>7</v>
      </c>
      <c r="C1043" s="81" t="s">
        <v>4504</v>
      </c>
      <c r="D1043" s="81" t="s">
        <v>4505</v>
      </c>
      <c r="E1043" s="82" t="s">
        <v>4506</v>
      </c>
      <c r="F1043" s="81" t="s">
        <v>4507</v>
      </c>
      <c r="G1043" s="81" t="s">
        <v>132</v>
      </c>
      <c r="H1043" s="81"/>
    </row>
    <row r="1044" customFormat="false" ht="15" hidden="false" customHeight="false" outlineLevel="0" collapsed="false">
      <c r="A1044" s="81" t="n">
        <v>1043</v>
      </c>
      <c r="B1044" s="81" t="s">
        <v>7</v>
      </c>
      <c r="C1044" s="81" t="s">
        <v>4508</v>
      </c>
      <c r="D1044" s="81" t="s">
        <v>4509</v>
      </c>
      <c r="E1044" s="82" t="s">
        <v>4510</v>
      </c>
      <c r="F1044" s="81" t="s">
        <v>4511</v>
      </c>
      <c r="G1044" s="81" t="s">
        <v>132</v>
      </c>
      <c r="H1044" s="81" t="s">
        <v>4512</v>
      </c>
    </row>
    <row r="1045" customFormat="false" ht="15" hidden="false" customHeight="false" outlineLevel="0" collapsed="false">
      <c r="A1045" s="81" t="n">
        <v>1044</v>
      </c>
      <c r="B1045" s="81" t="s">
        <v>7</v>
      </c>
      <c r="C1045" s="81" t="s">
        <v>4513</v>
      </c>
      <c r="D1045" s="81" t="s">
        <v>4514</v>
      </c>
      <c r="E1045" s="82" t="s">
        <v>4515</v>
      </c>
      <c r="F1045" s="81" t="s">
        <v>4516</v>
      </c>
      <c r="G1045" s="81" t="s">
        <v>132</v>
      </c>
      <c r="H1045" s="81" t="s">
        <v>4517</v>
      </c>
    </row>
    <row r="1046" customFormat="false" ht="15" hidden="false" customHeight="false" outlineLevel="0" collapsed="false">
      <c r="A1046" s="81" t="n">
        <v>1045</v>
      </c>
      <c r="B1046" s="81" t="s">
        <v>7</v>
      </c>
      <c r="C1046" s="81" t="s">
        <v>4518</v>
      </c>
      <c r="D1046" s="81" t="s">
        <v>4519</v>
      </c>
      <c r="E1046" s="82" t="s">
        <v>4520</v>
      </c>
      <c r="F1046" s="81" t="s">
        <v>4521</v>
      </c>
      <c r="G1046" s="81" t="s">
        <v>132</v>
      </c>
      <c r="H1046" s="81" t="s">
        <v>4522</v>
      </c>
    </row>
    <row r="1047" customFormat="false" ht="15" hidden="false" customHeight="false" outlineLevel="0" collapsed="false">
      <c r="A1047" s="81" t="n">
        <v>1046</v>
      </c>
      <c r="B1047" s="81" t="s">
        <v>7</v>
      </c>
      <c r="C1047" s="81" t="s">
        <v>4523</v>
      </c>
      <c r="D1047" s="81" t="s">
        <v>4524</v>
      </c>
      <c r="E1047" s="82" t="s">
        <v>4525</v>
      </c>
      <c r="F1047" s="81" t="s">
        <v>4526</v>
      </c>
      <c r="G1047" s="81" t="s">
        <v>132</v>
      </c>
      <c r="H1047" s="81" t="s">
        <v>4527</v>
      </c>
    </row>
    <row r="1048" customFormat="false" ht="15" hidden="false" customHeight="false" outlineLevel="0" collapsed="false">
      <c r="A1048" s="81" t="n">
        <v>1047</v>
      </c>
      <c r="B1048" s="81" t="s">
        <v>7</v>
      </c>
      <c r="C1048" s="81" t="s">
        <v>4528</v>
      </c>
      <c r="D1048" s="81" t="s">
        <v>4529</v>
      </c>
      <c r="E1048" s="82" t="s">
        <v>4530</v>
      </c>
      <c r="F1048" s="81" t="s">
        <v>4531</v>
      </c>
      <c r="G1048" s="81" t="s">
        <v>132</v>
      </c>
      <c r="H1048" s="81" t="s">
        <v>845</v>
      </c>
    </row>
    <row r="1049" customFormat="false" ht="15" hidden="false" customHeight="false" outlineLevel="0" collapsed="false">
      <c r="A1049" s="81" t="n">
        <v>1048</v>
      </c>
      <c r="B1049" s="81" t="s">
        <v>7</v>
      </c>
      <c r="C1049" s="81" t="s">
        <v>4532</v>
      </c>
      <c r="D1049" s="81" t="s">
        <v>4533</v>
      </c>
      <c r="E1049" s="82" t="s">
        <v>4534</v>
      </c>
      <c r="F1049" s="81" t="s">
        <v>4535</v>
      </c>
      <c r="G1049" s="81" t="s">
        <v>132</v>
      </c>
      <c r="H1049" s="81" t="s">
        <v>4536</v>
      </c>
    </row>
    <row r="1050" customFormat="false" ht="15" hidden="false" customHeight="false" outlineLevel="0" collapsed="false">
      <c r="A1050" s="81" t="n">
        <v>1049</v>
      </c>
      <c r="B1050" s="81" t="s">
        <v>7</v>
      </c>
      <c r="C1050" s="81" t="s">
        <v>1939</v>
      </c>
      <c r="D1050" s="81" t="s">
        <v>4537</v>
      </c>
      <c r="E1050" s="82" t="s">
        <v>1941</v>
      </c>
      <c r="F1050" s="81" t="s">
        <v>1942</v>
      </c>
      <c r="G1050" s="81" t="s">
        <v>132</v>
      </c>
      <c r="H1050" s="81" t="s">
        <v>845</v>
      </c>
    </row>
    <row r="1051" customFormat="false" ht="15" hidden="false" customHeight="false" outlineLevel="0" collapsed="false">
      <c r="A1051" s="81" t="n">
        <v>1050</v>
      </c>
      <c r="B1051" s="81" t="s">
        <v>7</v>
      </c>
      <c r="C1051" s="81" t="s">
        <v>4538</v>
      </c>
      <c r="D1051" s="81" t="s">
        <v>4539</v>
      </c>
      <c r="E1051" s="82" t="s">
        <v>4540</v>
      </c>
      <c r="F1051" s="81" t="s">
        <v>4541</v>
      </c>
      <c r="G1051" s="81" t="s">
        <v>132</v>
      </c>
      <c r="H1051" s="81" t="s">
        <v>4542</v>
      </c>
    </row>
    <row r="1052" customFormat="false" ht="15" hidden="false" customHeight="false" outlineLevel="0" collapsed="false">
      <c r="A1052" s="81" t="n">
        <v>1051</v>
      </c>
      <c r="B1052" s="81" t="s">
        <v>7</v>
      </c>
      <c r="C1052" s="81" t="s">
        <v>4543</v>
      </c>
      <c r="D1052" s="81" t="s">
        <v>4544</v>
      </c>
      <c r="E1052" s="82" t="s">
        <v>4545</v>
      </c>
      <c r="F1052" s="81" t="s">
        <v>4546</v>
      </c>
      <c r="G1052" s="81" t="s">
        <v>132</v>
      </c>
      <c r="H1052" s="81" t="s">
        <v>4547</v>
      </c>
    </row>
    <row r="1053" customFormat="false" ht="15" hidden="false" customHeight="false" outlineLevel="0" collapsed="false">
      <c r="A1053" s="81" t="n">
        <v>1052</v>
      </c>
      <c r="B1053" s="81" t="s">
        <v>7</v>
      </c>
      <c r="C1053" s="81" t="s">
        <v>2920</v>
      </c>
      <c r="D1053" s="81" t="s">
        <v>4548</v>
      </c>
      <c r="E1053" s="82" t="s">
        <v>2922</v>
      </c>
      <c r="F1053" s="81" t="s">
        <v>2923</v>
      </c>
      <c r="G1053" s="81" t="s">
        <v>132</v>
      </c>
      <c r="H1053" s="81" t="s">
        <v>845</v>
      </c>
    </row>
    <row r="1054" customFormat="false" ht="15" hidden="false" customHeight="false" outlineLevel="0" collapsed="false">
      <c r="A1054" s="81" t="n">
        <v>1053</v>
      </c>
      <c r="B1054" s="81" t="s">
        <v>7</v>
      </c>
      <c r="C1054" s="81" t="s">
        <v>4549</v>
      </c>
      <c r="D1054" s="81" t="s">
        <v>4550</v>
      </c>
      <c r="E1054" s="82" t="s">
        <v>4551</v>
      </c>
      <c r="F1054" s="81" t="s">
        <v>4552</v>
      </c>
      <c r="G1054" s="81" t="s">
        <v>132</v>
      </c>
      <c r="H1054" s="81"/>
    </row>
    <row r="1055" customFormat="false" ht="15" hidden="false" customHeight="false" outlineLevel="0" collapsed="false">
      <c r="A1055" s="81" t="n">
        <v>1054</v>
      </c>
      <c r="B1055" s="81" t="s">
        <v>7</v>
      </c>
      <c r="C1055" s="81" t="s">
        <v>4553</v>
      </c>
      <c r="D1055" s="81" t="s">
        <v>4554</v>
      </c>
      <c r="E1055" s="82" t="s">
        <v>4555</v>
      </c>
      <c r="F1055" s="81" t="s">
        <v>4556</v>
      </c>
      <c r="G1055" s="81" t="s">
        <v>132</v>
      </c>
      <c r="H1055" s="81" t="s">
        <v>4557</v>
      </c>
    </row>
    <row r="1056" customFormat="false" ht="15" hidden="false" customHeight="false" outlineLevel="0" collapsed="false">
      <c r="A1056" s="81" t="n">
        <v>1055</v>
      </c>
      <c r="B1056" s="81" t="s">
        <v>7</v>
      </c>
      <c r="C1056" s="81" t="s">
        <v>4558</v>
      </c>
      <c r="D1056" s="81" t="s">
        <v>4559</v>
      </c>
      <c r="E1056" s="82" t="s">
        <v>4560</v>
      </c>
      <c r="F1056" s="81" t="s">
        <v>4561</v>
      </c>
      <c r="G1056" s="81" t="s">
        <v>132</v>
      </c>
      <c r="H1056" s="81" t="s">
        <v>4562</v>
      </c>
    </row>
    <row r="1057" customFormat="false" ht="15" hidden="false" customHeight="false" outlineLevel="0" collapsed="false">
      <c r="A1057" s="81" t="n">
        <v>1056</v>
      </c>
      <c r="B1057" s="81" t="s">
        <v>7</v>
      </c>
      <c r="C1057" s="81" t="s">
        <v>4563</v>
      </c>
      <c r="D1057" s="81" t="s">
        <v>4564</v>
      </c>
      <c r="E1057" s="82" t="s">
        <v>4565</v>
      </c>
      <c r="F1057" s="81" t="s">
        <v>4566</v>
      </c>
      <c r="G1057" s="81" t="s">
        <v>132</v>
      </c>
      <c r="H1057" s="81" t="s">
        <v>4567</v>
      </c>
    </row>
    <row r="1058" customFormat="false" ht="15" hidden="false" customHeight="false" outlineLevel="0" collapsed="false">
      <c r="A1058" s="81" t="n">
        <v>1057</v>
      </c>
      <c r="B1058" s="81" t="s">
        <v>7</v>
      </c>
      <c r="C1058" s="81" t="s">
        <v>4106</v>
      </c>
      <c r="D1058" s="81" t="s">
        <v>4568</v>
      </c>
      <c r="E1058" s="82" t="s">
        <v>4108</v>
      </c>
      <c r="F1058" s="81" t="s">
        <v>4109</v>
      </c>
      <c r="G1058" s="81" t="s">
        <v>132</v>
      </c>
      <c r="H1058" s="81" t="s">
        <v>845</v>
      </c>
    </row>
    <row r="1059" customFormat="false" ht="15" hidden="false" customHeight="false" outlineLevel="0" collapsed="false">
      <c r="A1059" s="81" t="n">
        <v>1058</v>
      </c>
      <c r="B1059" s="81" t="s">
        <v>7</v>
      </c>
      <c r="C1059" s="81" t="s">
        <v>4569</v>
      </c>
      <c r="D1059" s="81" t="s">
        <v>4570</v>
      </c>
      <c r="E1059" s="82" t="s">
        <v>4571</v>
      </c>
      <c r="F1059" s="81" t="s">
        <v>4572</v>
      </c>
      <c r="G1059" s="81" t="s">
        <v>132</v>
      </c>
      <c r="H1059" s="81"/>
    </row>
    <row r="1060" customFormat="false" ht="15" hidden="false" customHeight="false" outlineLevel="0" collapsed="false">
      <c r="A1060" s="81" t="n">
        <v>1059</v>
      </c>
      <c r="B1060" s="81" t="s">
        <v>7</v>
      </c>
      <c r="C1060" s="81" t="s">
        <v>4573</v>
      </c>
      <c r="D1060" s="81" t="s">
        <v>4574</v>
      </c>
      <c r="E1060" s="82" t="s">
        <v>4575</v>
      </c>
      <c r="F1060" s="81" t="s">
        <v>4576</v>
      </c>
      <c r="G1060" s="81" t="s">
        <v>132</v>
      </c>
      <c r="H1060" s="81" t="s">
        <v>4577</v>
      </c>
    </row>
    <row r="1061" customFormat="false" ht="15" hidden="false" customHeight="false" outlineLevel="0" collapsed="false">
      <c r="A1061" s="81" t="n">
        <v>1060</v>
      </c>
      <c r="B1061" s="81" t="s">
        <v>7</v>
      </c>
      <c r="C1061" s="81" t="s">
        <v>4578</v>
      </c>
      <c r="D1061" s="81" t="s">
        <v>4579</v>
      </c>
      <c r="E1061" s="82" t="s">
        <v>4580</v>
      </c>
      <c r="F1061" s="81" t="s">
        <v>4581</v>
      </c>
      <c r="G1061" s="81" t="s">
        <v>132</v>
      </c>
      <c r="H1061" s="81" t="s">
        <v>4582</v>
      </c>
    </row>
    <row r="1062" customFormat="false" ht="15" hidden="false" customHeight="false" outlineLevel="0" collapsed="false">
      <c r="A1062" s="81" t="n">
        <v>1061</v>
      </c>
      <c r="B1062" s="81" t="s">
        <v>7</v>
      </c>
      <c r="C1062" s="81" t="s">
        <v>4583</v>
      </c>
      <c r="D1062" s="81" t="s">
        <v>4584</v>
      </c>
      <c r="E1062" s="82" t="s">
        <v>4585</v>
      </c>
      <c r="F1062" s="81" t="s">
        <v>4586</v>
      </c>
      <c r="G1062" s="81" t="s">
        <v>132</v>
      </c>
      <c r="H1062" s="81" t="s">
        <v>4587</v>
      </c>
    </row>
    <row r="1063" customFormat="false" ht="15" hidden="false" customHeight="false" outlineLevel="0" collapsed="false">
      <c r="A1063" s="81" t="n">
        <v>1062</v>
      </c>
      <c r="B1063" s="81" t="s">
        <v>7</v>
      </c>
      <c r="C1063" s="81" t="s">
        <v>4588</v>
      </c>
      <c r="D1063" s="81" t="s">
        <v>4589</v>
      </c>
      <c r="E1063" s="82" t="s">
        <v>4590</v>
      </c>
      <c r="F1063" s="81" t="s">
        <v>4591</v>
      </c>
      <c r="G1063" s="81" t="s">
        <v>132</v>
      </c>
      <c r="H1063" s="81" t="s">
        <v>4592</v>
      </c>
    </row>
    <row r="1064" customFormat="false" ht="15" hidden="false" customHeight="false" outlineLevel="0" collapsed="false">
      <c r="A1064" s="81" t="n">
        <v>1063</v>
      </c>
      <c r="B1064" s="81" t="s">
        <v>7</v>
      </c>
      <c r="C1064" s="81" t="s">
        <v>4593</v>
      </c>
      <c r="D1064" s="81" t="s">
        <v>4594</v>
      </c>
      <c r="E1064" s="82" t="s">
        <v>4595</v>
      </c>
      <c r="F1064" s="81" t="s">
        <v>4596</v>
      </c>
      <c r="G1064" s="81" t="s">
        <v>132</v>
      </c>
      <c r="H1064" s="81" t="s">
        <v>4597</v>
      </c>
    </row>
    <row r="1065" customFormat="false" ht="15" hidden="false" customHeight="false" outlineLevel="0" collapsed="false">
      <c r="A1065" s="81" t="n">
        <v>1064</v>
      </c>
      <c r="B1065" s="81" t="s">
        <v>7</v>
      </c>
      <c r="C1065" s="81" t="s">
        <v>4598</v>
      </c>
      <c r="D1065" s="81" t="s">
        <v>4599</v>
      </c>
      <c r="E1065" s="82" t="s">
        <v>4600</v>
      </c>
      <c r="F1065" s="81" t="s">
        <v>4601</v>
      </c>
      <c r="G1065" s="81" t="s">
        <v>132</v>
      </c>
      <c r="H1065" s="81"/>
    </row>
    <row r="1066" customFormat="false" ht="15" hidden="false" customHeight="false" outlineLevel="0" collapsed="false">
      <c r="A1066" s="81" t="n">
        <v>1065</v>
      </c>
      <c r="B1066" s="81" t="s">
        <v>7</v>
      </c>
      <c r="C1066" s="81" t="s">
        <v>4602</v>
      </c>
      <c r="D1066" s="81" t="s">
        <v>4603</v>
      </c>
      <c r="E1066" s="82" t="s">
        <v>4604</v>
      </c>
      <c r="F1066" s="81" t="s">
        <v>4605</v>
      </c>
      <c r="G1066" s="81" t="s">
        <v>132</v>
      </c>
      <c r="H1066" s="81" t="s">
        <v>4606</v>
      </c>
    </row>
    <row r="1067" customFormat="false" ht="15" hidden="false" customHeight="false" outlineLevel="0" collapsed="false">
      <c r="A1067" s="81" t="n">
        <v>1066</v>
      </c>
      <c r="B1067" s="81" t="s">
        <v>7</v>
      </c>
      <c r="C1067" s="81" t="s">
        <v>4607</v>
      </c>
      <c r="D1067" s="81" t="s">
        <v>4608</v>
      </c>
      <c r="E1067" s="82" t="s">
        <v>4609</v>
      </c>
      <c r="F1067" s="81" t="s">
        <v>4610</v>
      </c>
      <c r="G1067" s="81" t="s">
        <v>132</v>
      </c>
      <c r="H1067" s="81" t="s">
        <v>4611</v>
      </c>
    </row>
    <row r="1068" customFormat="false" ht="15" hidden="false" customHeight="false" outlineLevel="0" collapsed="false">
      <c r="A1068" s="81" t="n">
        <v>1067</v>
      </c>
      <c r="B1068" s="81" t="s">
        <v>7</v>
      </c>
      <c r="C1068" s="81" t="s">
        <v>4612</v>
      </c>
      <c r="D1068" s="81" t="s">
        <v>4613</v>
      </c>
      <c r="E1068" s="82" t="s">
        <v>4614</v>
      </c>
      <c r="F1068" s="81" t="s">
        <v>4615</v>
      </c>
      <c r="G1068" s="81" t="s">
        <v>132</v>
      </c>
      <c r="H1068" s="81" t="s">
        <v>4616</v>
      </c>
    </row>
    <row r="1069" customFormat="false" ht="15" hidden="false" customHeight="false" outlineLevel="0" collapsed="false">
      <c r="A1069" s="81" t="n">
        <v>1068</v>
      </c>
      <c r="B1069" s="81" t="s">
        <v>7</v>
      </c>
      <c r="C1069" s="81" t="s">
        <v>4617</v>
      </c>
      <c r="D1069" s="81" t="s">
        <v>4618</v>
      </c>
      <c r="E1069" s="82" t="s">
        <v>4619</v>
      </c>
      <c r="F1069" s="81" t="s">
        <v>4620</v>
      </c>
      <c r="G1069" s="81" t="s">
        <v>132</v>
      </c>
      <c r="H1069" s="81" t="s">
        <v>4621</v>
      </c>
    </row>
    <row r="1070" customFormat="false" ht="15" hidden="false" customHeight="false" outlineLevel="0" collapsed="false">
      <c r="A1070" s="81" t="n">
        <v>1069</v>
      </c>
      <c r="B1070" s="81" t="s">
        <v>7</v>
      </c>
      <c r="C1070" s="81" t="s">
        <v>4622</v>
      </c>
      <c r="D1070" s="81" t="s">
        <v>4623</v>
      </c>
      <c r="E1070" s="82" t="s">
        <v>4624</v>
      </c>
      <c r="F1070" s="81" t="s">
        <v>4625</v>
      </c>
      <c r="G1070" s="81" t="s">
        <v>132</v>
      </c>
      <c r="H1070" s="81"/>
    </row>
    <row r="1071" customFormat="false" ht="15" hidden="false" customHeight="false" outlineLevel="0" collapsed="false">
      <c r="A1071" s="81" t="n">
        <v>1070</v>
      </c>
      <c r="B1071" s="81" t="s">
        <v>7</v>
      </c>
      <c r="C1071" s="81" t="s">
        <v>4626</v>
      </c>
      <c r="D1071" s="81" t="s">
        <v>4627</v>
      </c>
      <c r="E1071" s="82" t="s">
        <v>4628</v>
      </c>
      <c r="F1071" s="81" t="s">
        <v>4629</v>
      </c>
      <c r="G1071" s="81" t="s">
        <v>132</v>
      </c>
      <c r="H1071" s="81" t="s">
        <v>4630</v>
      </c>
    </row>
    <row r="1072" customFormat="false" ht="15" hidden="false" customHeight="false" outlineLevel="0" collapsed="false">
      <c r="A1072" s="81" t="n">
        <v>1071</v>
      </c>
      <c r="B1072" s="81" t="s">
        <v>7</v>
      </c>
      <c r="C1072" s="81" t="s">
        <v>4631</v>
      </c>
      <c r="D1072" s="81" t="s">
        <v>4632</v>
      </c>
      <c r="E1072" s="82" t="s">
        <v>4633</v>
      </c>
      <c r="F1072" s="81" t="s">
        <v>4634</v>
      </c>
      <c r="G1072" s="81" t="s">
        <v>132</v>
      </c>
      <c r="H1072" s="81" t="s">
        <v>4635</v>
      </c>
    </row>
    <row r="1073" customFormat="false" ht="15" hidden="false" customHeight="false" outlineLevel="0" collapsed="false">
      <c r="A1073" s="81" t="n">
        <v>1072</v>
      </c>
      <c r="B1073" s="81" t="s">
        <v>7</v>
      </c>
      <c r="C1073" s="81" t="s">
        <v>4636</v>
      </c>
      <c r="D1073" s="81" t="s">
        <v>4637</v>
      </c>
      <c r="E1073" s="82" t="s">
        <v>4638</v>
      </c>
      <c r="F1073" s="81" t="s">
        <v>4639</v>
      </c>
      <c r="G1073" s="81" t="s">
        <v>132</v>
      </c>
      <c r="H1073" s="81" t="s">
        <v>4640</v>
      </c>
    </row>
    <row r="1074" customFormat="false" ht="15" hidden="false" customHeight="false" outlineLevel="0" collapsed="false">
      <c r="A1074" s="81" t="n">
        <v>1073</v>
      </c>
      <c r="B1074" s="81" t="s">
        <v>7</v>
      </c>
      <c r="C1074" s="81" t="s">
        <v>4641</v>
      </c>
      <c r="D1074" s="81" t="s">
        <v>4642</v>
      </c>
      <c r="E1074" s="82" t="s">
        <v>4643</v>
      </c>
      <c r="F1074" s="81" t="s">
        <v>4644</v>
      </c>
      <c r="G1074" s="81" t="s">
        <v>132</v>
      </c>
      <c r="H1074" s="81"/>
    </row>
    <row r="1075" customFormat="false" ht="15" hidden="false" customHeight="false" outlineLevel="0" collapsed="false">
      <c r="A1075" s="81" t="n">
        <v>1074</v>
      </c>
      <c r="B1075" s="81" t="s">
        <v>7</v>
      </c>
      <c r="C1075" s="81" t="s">
        <v>2901</v>
      </c>
      <c r="D1075" s="81" t="s">
        <v>4645</v>
      </c>
      <c r="E1075" s="82" t="s">
        <v>2903</v>
      </c>
      <c r="F1075" s="81" t="s">
        <v>2904</v>
      </c>
      <c r="G1075" s="81" t="s">
        <v>132</v>
      </c>
      <c r="H1075" s="81" t="s">
        <v>845</v>
      </c>
    </row>
    <row r="1076" customFormat="false" ht="15" hidden="false" customHeight="false" outlineLevel="0" collapsed="false">
      <c r="A1076" s="81" t="n">
        <v>1075</v>
      </c>
      <c r="B1076" s="81" t="s">
        <v>7</v>
      </c>
      <c r="C1076" s="81" t="s">
        <v>4646</v>
      </c>
      <c r="D1076" s="81" t="s">
        <v>4647</v>
      </c>
      <c r="E1076" s="82" t="s">
        <v>4648</v>
      </c>
      <c r="F1076" s="81" t="s">
        <v>4649</v>
      </c>
      <c r="G1076" s="81" t="s">
        <v>132</v>
      </c>
      <c r="H1076" s="81" t="s">
        <v>4650</v>
      </c>
    </row>
    <row r="1077" customFormat="false" ht="15" hidden="false" customHeight="false" outlineLevel="0" collapsed="false">
      <c r="A1077" s="81" t="n">
        <v>1076</v>
      </c>
      <c r="B1077" s="81" t="s">
        <v>7</v>
      </c>
      <c r="C1077" s="81" t="s">
        <v>3969</v>
      </c>
      <c r="D1077" s="81" t="s">
        <v>3970</v>
      </c>
      <c r="E1077" s="82" t="s">
        <v>3971</v>
      </c>
      <c r="F1077" s="81" t="s">
        <v>3972</v>
      </c>
      <c r="G1077" s="81" t="s">
        <v>132</v>
      </c>
      <c r="H1077" s="81"/>
    </row>
    <row r="1078" customFormat="false" ht="15" hidden="false" customHeight="false" outlineLevel="0" collapsed="false">
      <c r="A1078" s="81" t="n">
        <v>1077</v>
      </c>
      <c r="B1078" s="81" t="s">
        <v>7</v>
      </c>
      <c r="C1078" s="81" t="s">
        <v>4651</v>
      </c>
      <c r="D1078" s="81" t="s">
        <v>4652</v>
      </c>
      <c r="E1078" s="82" t="s">
        <v>4653</v>
      </c>
      <c r="F1078" s="81" t="s">
        <v>4654</v>
      </c>
      <c r="G1078" s="81" t="s">
        <v>132</v>
      </c>
      <c r="H1078" s="81" t="s">
        <v>4655</v>
      </c>
    </row>
    <row r="1079" customFormat="false" ht="15" hidden="false" customHeight="false" outlineLevel="0" collapsed="false">
      <c r="A1079" s="81" t="n">
        <v>1078</v>
      </c>
      <c r="B1079" s="81" t="s">
        <v>7</v>
      </c>
      <c r="C1079" s="81" t="s">
        <v>4656</v>
      </c>
      <c r="D1079" s="81" t="s">
        <v>4657</v>
      </c>
      <c r="E1079" s="82" t="s">
        <v>4658</v>
      </c>
      <c r="F1079" s="81" t="s">
        <v>4659</v>
      </c>
      <c r="G1079" s="81" t="s">
        <v>132</v>
      </c>
      <c r="H1079" s="81" t="s">
        <v>4660</v>
      </c>
    </row>
    <row r="1080" customFormat="false" ht="15" hidden="false" customHeight="false" outlineLevel="0" collapsed="false">
      <c r="A1080" s="81" t="n">
        <v>1079</v>
      </c>
      <c r="B1080" s="81" t="s">
        <v>7</v>
      </c>
      <c r="C1080" s="81" t="s">
        <v>4661</v>
      </c>
      <c r="D1080" s="81" t="s">
        <v>4662</v>
      </c>
      <c r="E1080" s="82" t="s">
        <v>4663</v>
      </c>
      <c r="F1080" s="81" t="s">
        <v>4664</v>
      </c>
      <c r="G1080" s="81" t="s">
        <v>132</v>
      </c>
      <c r="H1080" s="81" t="s">
        <v>4665</v>
      </c>
    </row>
    <row r="1081" customFormat="false" ht="15" hidden="false" customHeight="false" outlineLevel="0" collapsed="false">
      <c r="A1081" s="81" t="n">
        <v>1080</v>
      </c>
      <c r="B1081" s="81" t="s">
        <v>7</v>
      </c>
      <c r="C1081" s="81" t="s">
        <v>4666</v>
      </c>
      <c r="D1081" s="81" t="s">
        <v>4667</v>
      </c>
      <c r="E1081" s="82" t="s">
        <v>4668</v>
      </c>
      <c r="F1081" s="81" t="s">
        <v>4669</v>
      </c>
      <c r="G1081" s="81" t="s">
        <v>132</v>
      </c>
      <c r="H1081" s="81"/>
    </row>
    <row r="1082" customFormat="false" ht="15" hidden="false" customHeight="false" outlineLevel="0" collapsed="false">
      <c r="A1082" s="81" t="n">
        <v>1081</v>
      </c>
      <c r="B1082" s="81" t="s">
        <v>7</v>
      </c>
      <c r="C1082" s="81" t="s">
        <v>4670</v>
      </c>
      <c r="D1082" s="81" t="s">
        <v>4671</v>
      </c>
      <c r="E1082" s="82" t="s">
        <v>4672</v>
      </c>
      <c r="F1082" s="81" t="s">
        <v>4673</v>
      </c>
      <c r="G1082" s="81" t="s">
        <v>132</v>
      </c>
      <c r="H1082" s="81"/>
    </row>
    <row r="1083" customFormat="false" ht="15" hidden="false" customHeight="false" outlineLevel="0" collapsed="false">
      <c r="A1083" s="81" t="n">
        <v>1082</v>
      </c>
      <c r="B1083" s="81" t="s">
        <v>7</v>
      </c>
      <c r="C1083" s="81" t="s">
        <v>4674</v>
      </c>
      <c r="D1083" s="81" t="s">
        <v>4675</v>
      </c>
      <c r="E1083" s="82" t="s">
        <v>4676</v>
      </c>
      <c r="F1083" s="81" t="s">
        <v>4677</v>
      </c>
      <c r="G1083" s="81" t="s">
        <v>132</v>
      </c>
      <c r="H1083" s="81"/>
    </row>
    <row r="1084" customFormat="false" ht="15" hidden="false" customHeight="false" outlineLevel="0" collapsed="false">
      <c r="A1084" s="81" t="n">
        <v>1083</v>
      </c>
      <c r="B1084" s="81" t="s">
        <v>7</v>
      </c>
      <c r="C1084" s="81" t="s">
        <v>4678</v>
      </c>
      <c r="D1084" s="81" t="s">
        <v>4679</v>
      </c>
      <c r="E1084" s="82" t="s">
        <v>4680</v>
      </c>
      <c r="F1084" s="81" t="s">
        <v>4681</v>
      </c>
      <c r="G1084" s="81" t="s">
        <v>134</v>
      </c>
      <c r="H1084" s="81" t="s">
        <v>4682</v>
      </c>
    </row>
    <row r="1085" customFormat="false" ht="15" hidden="false" customHeight="false" outlineLevel="0" collapsed="false">
      <c r="A1085" s="81" t="n">
        <v>1084</v>
      </c>
      <c r="B1085" s="81" t="s">
        <v>7</v>
      </c>
      <c r="C1085" s="81" t="s">
        <v>4683</v>
      </c>
      <c r="D1085" s="81" t="s">
        <v>4684</v>
      </c>
      <c r="E1085" s="82" t="s">
        <v>4685</v>
      </c>
      <c r="F1085" s="81" t="s">
        <v>4686</v>
      </c>
      <c r="G1085" s="81" t="s">
        <v>134</v>
      </c>
      <c r="H1085" s="81" t="s">
        <v>4687</v>
      </c>
    </row>
    <row r="1086" customFormat="false" ht="15" hidden="false" customHeight="false" outlineLevel="0" collapsed="false">
      <c r="A1086" s="81" t="n">
        <v>1085</v>
      </c>
      <c r="B1086" s="81" t="s">
        <v>7</v>
      </c>
      <c r="C1086" s="81" t="s">
        <v>4688</v>
      </c>
      <c r="D1086" s="81" t="s">
        <v>4689</v>
      </c>
      <c r="E1086" s="82" t="s">
        <v>4690</v>
      </c>
      <c r="F1086" s="81" t="s">
        <v>4691</v>
      </c>
      <c r="G1086" s="81" t="s">
        <v>134</v>
      </c>
      <c r="H1086" s="81" t="s">
        <v>4692</v>
      </c>
    </row>
    <row r="1087" customFormat="false" ht="15" hidden="false" customHeight="false" outlineLevel="0" collapsed="false">
      <c r="A1087" s="81" t="n">
        <v>1086</v>
      </c>
      <c r="B1087" s="81" t="s">
        <v>7</v>
      </c>
      <c r="C1087" s="81" t="s">
        <v>4693</v>
      </c>
      <c r="D1087" s="81" t="s">
        <v>4694</v>
      </c>
      <c r="E1087" s="82" t="s">
        <v>4695</v>
      </c>
      <c r="F1087" s="81" t="s">
        <v>4696</v>
      </c>
      <c r="G1087" s="81" t="s">
        <v>134</v>
      </c>
      <c r="H1087" s="81" t="s">
        <v>4697</v>
      </c>
    </row>
    <row r="1088" customFormat="false" ht="15" hidden="false" customHeight="false" outlineLevel="0" collapsed="false">
      <c r="A1088" s="81" t="n">
        <v>1087</v>
      </c>
      <c r="B1088" s="81" t="s">
        <v>7</v>
      </c>
      <c r="C1088" s="81" t="s">
        <v>4698</v>
      </c>
      <c r="D1088" s="81" t="s">
        <v>4699</v>
      </c>
      <c r="E1088" s="82" t="s">
        <v>4700</v>
      </c>
      <c r="F1088" s="81" t="s">
        <v>4701</v>
      </c>
      <c r="G1088" s="81" t="s">
        <v>134</v>
      </c>
      <c r="H1088" s="81"/>
    </row>
    <row r="1089" customFormat="false" ht="15" hidden="false" customHeight="false" outlineLevel="0" collapsed="false">
      <c r="A1089" s="81" t="n">
        <v>1088</v>
      </c>
      <c r="B1089" s="81" t="s">
        <v>7</v>
      </c>
      <c r="C1089" s="81" t="s">
        <v>4702</v>
      </c>
      <c r="D1089" s="81" t="s">
        <v>4703</v>
      </c>
      <c r="E1089" s="82" t="s">
        <v>4704</v>
      </c>
      <c r="F1089" s="81" t="s">
        <v>4705</v>
      </c>
      <c r="G1089" s="81" t="s">
        <v>134</v>
      </c>
      <c r="H1089" s="81" t="s">
        <v>4706</v>
      </c>
    </row>
    <row r="1090" customFormat="false" ht="15" hidden="false" customHeight="false" outlineLevel="0" collapsed="false">
      <c r="A1090" s="81" t="n">
        <v>1089</v>
      </c>
      <c r="B1090" s="81" t="s">
        <v>7</v>
      </c>
      <c r="C1090" s="81" t="s">
        <v>4707</v>
      </c>
      <c r="D1090" s="81" t="s">
        <v>4708</v>
      </c>
      <c r="E1090" s="82" t="s">
        <v>4709</v>
      </c>
      <c r="F1090" s="81" t="s">
        <v>4710</v>
      </c>
      <c r="G1090" s="81" t="s">
        <v>134</v>
      </c>
      <c r="H1090" s="81" t="s">
        <v>4711</v>
      </c>
    </row>
    <row r="1091" customFormat="false" ht="15" hidden="false" customHeight="false" outlineLevel="0" collapsed="false">
      <c r="A1091" s="81" t="n">
        <v>1090</v>
      </c>
      <c r="B1091" s="81" t="s">
        <v>7</v>
      </c>
      <c r="C1091" s="81" t="s">
        <v>4712</v>
      </c>
      <c r="D1091" s="81" t="s">
        <v>4713</v>
      </c>
      <c r="E1091" s="82" t="s">
        <v>4714</v>
      </c>
      <c r="F1091" s="81" t="s">
        <v>4715</v>
      </c>
      <c r="G1091" s="81" t="s">
        <v>134</v>
      </c>
      <c r="H1091" s="81" t="s">
        <v>4716</v>
      </c>
    </row>
    <row r="1092" customFormat="false" ht="15" hidden="false" customHeight="false" outlineLevel="0" collapsed="false">
      <c r="A1092" s="81" t="n">
        <v>1091</v>
      </c>
      <c r="B1092" s="81" t="s">
        <v>7</v>
      </c>
      <c r="C1092" s="81" t="s">
        <v>4717</v>
      </c>
      <c r="D1092" s="81" t="s">
        <v>4718</v>
      </c>
      <c r="E1092" s="82" t="s">
        <v>4719</v>
      </c>
      <c r="F1092" s="81" t="s">
        <v>4720</v>
      </c>
      <c r="G1092" s="81" t="s">
        <v>134</v>
      </c>
      <c r="H1092" s="81"/>
    </row>
    <row r="1093" customFormat="false" ht="15" hidden="false" customHeight="false" outlineLevel="0" collapsed="false">
      <c r="A1093" s="81" t="n">
        <v>1092</v>
      </c>
      <c r="B1093" s="81" t="s">
        <v>7</v>
      </c>
      <c r="C1093" s="81" t="s">
        <v>4721</v>
      </c>
      <c r="D1093" s="81" t="s">
        <v>4722</v>
      </c>
      <c r="E1093" s="82" t="s">
        <v>4723</v>
      </c>
      <c r="F1093" s="81" t="s">
        <v>4724</v>
      </c>
      <c r="G1093" s="81" t="s">
        <v>134</v>
      </c>
      <c r="H1093" s="81" t="s">
        <v>4725</v>
      </c>
    </row>
    <row r="1094" customFormat="false" ht="15" hidden="false" customHeight="false" outlineLevel="0" collapsed="false">
      <c r="A1094" s="81" t="n">
        <v>1093</v>
      </c>
      <c r="B1094" s="81" t="s">
        <v>7</v>
      </c>
      <c r="C1094" s="81" t="s">
        <v>4726</v>
      </c>
      <c r="D1094" s="81" t="s">
        <v>4727</v>
      </c>
      <c r="E1094" s="82" t="s">
        <v>4728</v>
      </c>
      <c r="F1094" s="81" t="s">
        <v>4729</v>
      </c>
      <c r="G1094" s="81" t="s">
        <v>134</v>
      </c>
      <c r="H1094" s="81"/>
    </row>
    <row r="1095" customFormat="false" ht="15" hidden="false" customHeight="false" outlineLevel="0" collapsed="false">
      <c r="A1095" s="81" t="n">
        <v>1094</v>
      </c>
      <c r="B1095" s="81" t="s">
        <v>7</v>
      </c>
      <c r="C1095" s="81" t="s">
        <v>4730</v>
      </c>
      <c r="D1095" s="81" t="s">
        <v>4731</v>
      </c>
      <c r="E1095" s="82" t="s">
        <v>4732</v>
      </c>
      <c r="F1095" s="81" t="s">
        <v>4733</v>
      </c>
      <c r="G1095" s="81" t="s">
        <v>134</v>
      </c>
      <c r="H1095" s="81" t="s">
        <v>4734</v>
      </c>
    </row>
    <row r="1096" customFormat="false" ht="15" hidden="false" customHeight="false" outlineLevel="0" collapsed="false">
      <c r="A1096" s="81" t="n">
        <v>1095</v>
      </c>
      <c r="B1096" s="81" t="s">
        <v>7</v>
      </c>
      <c r="C1096" s="81" t="s">
        <v>4735</v>
      </c>
      <c r="D1096" s="81" t="s">
        <v>4736</v>
      </c>
      <c r="E1096" s="82" t="s">
        <v>4737</v>
      </c>
      <c r="F1096" s="81" t="s">
        <v>4738</v>
      </c>
      <c r="G1096" s="81" t="s">
        <v>134</v>
      </c>
      <c r="H1096" s="81"/>
    </row>
    <row r="1097" customFormat="false" ht="15" hidden="false" customHeight="false" outlineLevel="0" collapsed="false">
      <c r="A1097" s="81" t="n">
        <v>1096</v>
      </c>
      <c r="B1097" s="81" t="s">
        <v>7</v>
      </c>
      <c r="C1097" s="81" t="s">
        <v>4739</v>
      </c>
      <c r="D1097" s="81" t="s">
        <v>4740</v>
      </c>
      <c r="E1097" s="82" t="s">
        <v>4741</v>
      </c>
      <c r="F1097" s="81" t="s">
        <v>4742</v>
      </c>
      <c r="G1097" s="81" t="s">
        <v>134</v>
      </c>
      <c r="H1097" s="81"/>
    </row>
    <row r="1098" customFormat="false" ht="15" hidden="false" customHeight="false" outlineLevel="0" collapsed="false">
      <c r="A1098" s="81" t="n">
        <v>1097</v>
      </c>
      <c r="B1098" s="81" t="s">
        <v>7</v>
      </c>
      <c r="C1098" s="81" t="s">
        <v>4743</v>
      </c>
      <c r="D1098" s="81" t="s">
        <v>4744</v>
      </c>
      <c r="E1098" s="82" t="s">
        <v>4745</v>
      </c>
      <c r="F1098" s="81" t="s">
        <v>4746</v>
      </c>
      <c r="G1098" s="81" t="s">
        <v>134</v>
      </c>
      <c r="H1098" s="81" t="s">
        <v>4747</v>
      </c>
    </row>
    <row r="1099" customFormat="false" ht="15" hidden="false" customHeight="false" outlineLevel="0" collapsed="false">
      <c r="A1099" s="81" t="n">
        <v>1098</v>
      </c>
      <c r="B1099" s="81" t="s">
        <v>7</v>
      </c>
      <c r="C1099" s="81" t="s">
        <v>4748</v>
      </c>
      <c r="D1099" s="81" t="s">
        <v>4749</v>
      </c>
      <c r="E1099" s="82" t="s">
        <v>4750</v>
      </c>
      <c r="F1099" s="81" t="s">
        <v>4751</v>
      </c>
      <c r="G1099" s="81" t="s">
        <v>134</v>
      </c>
      <c r="H1099" s="81"/>
    </row>
    <row r="1100" customFormat="false" ht="15" hidden="false" customHeight="false" outlineLevel="0" collapsed="false">
      <c r="A1100" s="81" t="n">
        <v>1099</v>
      </c>
      <c r="B1100" s="81" t="s">
        <v>7</v>
      </c>
      <c r="C1100" s="81" t="s">
        <v>4752</v>
      </c>
      <c r="D1100" s="81" t="s">
        <v>4753</v>
      </c>
      <c r="E1100" s="82" t="s">
        <v>4754</v>
      </c>
      <c r="F1100" s="81" t="s">
        <v>4755</v>
      </c>
      <c r="G1100" s="81" t="s">
        <v>134</v>
      </c>
      <c r="H1100" s="81"/>
    </row>
    <row r="1101" customFormat="false" ht="15" hidden="false" customHeight="false" outlineLevel="0" collapsed="false">
      <c r="A1101" s="81" t="n">
        <v>1100</v>
      </c>
      <c r="B1101" s="81" t="s">
        <v>7</v>
      </c>
      <c r="C1101" s="81" t="s">
        <v>4756</v>
      </c>
      <c r="D1101" s="81" t="s">
        <v>4757</v>
      </c>
      <c r="E1101" s="82" t="s">
        <v>4758</v>
      </c>
      <c r="F1101" s="81" t="s">
        <v>4759</v>
      </c>
      <c r="G1101" s="81" t="s">
        <v>134</v>
      </c>
      <c r="H1101" s="81" t="s">
        <v>4760</v>
      </c>
    </row>
    <row r="1102" customFormat="false" ht="15" hidden="false" customHeight="false" outlineLevel="0" collapsed="false">
      <c r="A1102" s="81" t="n">
        <v>1101</v>
      </c>
      <c r="B1102" s="81" t="s">
        <v>7</v>
      </c>
      <c r="C1102" s="81" t="s">
        <v>4761</v>
      </c>
      <c r="D1102" s="81" t="s">
        <v>4762</v>
      </c>
      <c r="E1102" s="82" t="s">
        <v>4763</v>
      </c>
      <c r="F1102" s="81" t="s">
        <v>4764</v>
      </c>
      <c r="G1102" s="81" t="s">
        <v>134</v>
      </c>
      <c r="H1102" s="81"/>
    </row>
    <row r="1103" customFormat="false" ht="15" hidden="false" customHeight="false" outlineLevel="0" collapsed="false">
      <c r="A1103" s="81" t="n">
        <v>1102</v>
      </c>
      <c r="B1103" s="81" t="s">
        <v>7</v>
      </c>
      <c r="C1103" s="81" t="s">
        <v>4765</v>
      </c>
      <c r="D1103" s="81" t="s">
        <v>4766</v>
      </c>
      <c r="E1103" s="82" t="s">
        <v>4767</v>
      </c>
      <c r="F1103" s="81" t="s">
        <v>4768</v>
      </c>
      <c r="G1103" s="81" t="s">
        <v>134</v>
      </c>
      <c r="H1103" s="81" t="s">
        <v>4769</v>
      </c>
    </row>
    <row r="1104" customFormat="false" ht="15" hidden="false" customHeight="false" outlineLevel="0" collapsed="false">
      <c r="A1104" s="81" t="n">
        <v>1103</v>
      </c>
      <c r="B1104" s="81" t="s">
        <v>7</v>
      </c>
      <c r="C1104" s="81" t="s">
        <v>4770</v>
      </c>
      <c r="D1104" s="81" t="s">
        <v>4771</v>
      </c>
      <c r="E1104" s="82" t="s">
        <v>4772</v>
      </c>
      <c r="F1104" s="81" t="s">
        <v>4773</v>
      </c>
      <c r="G1104" s="81" t="s">
        <v>134</v>
      </c>
      <c r="H1104" s="81" t="s">
        <v>4774</v>
      </c>
    </row>
    <row r="1105" customFormat="false" ht="15" hidden="false" customHeight="false" outlineLevel="0" collapsed="false">
      <c r="A1105" s="81" t="n">
        <v>1104</v>
      </c>
      <c r="B1105" s="81" t="s">
        <v>7</v>
      </c>
      <c r="C1105" s="81" t="s">
        <v>4775</v>
      </c>
      <c r="D1105" s="81" t="s">
        <v>4776</v>
      </c>
      <c r="E1105" s="82" t="s">
        <v>4777</v>
      </c>
      <c r="F1105" s="81" t="s">
        <v>4778</v>
      </c>
      <c r="G1105" s="81" t="s">
        <v>134</v>
      </c>
      <c r="H1105" s="81" t="s">
        <v>4779</v>
      </c>
    </row>
    <row r="1106" customFormat="false" ht="15" hidden="false" customHeight="false" outlineLevel="0" collapsed="false">
      <c r="A1106" s="81" t="n">
        <v>1105</v>
      </c>
      <c r="B1106" s="81" t="s">
        <v>7</v>
      </c>
      <c r="C1106" s="81" t="s">
        <v>4780</v>
      </c>
      <c r="D1106" s="81" t="s">
        <v>4781</v>
      </c>
      <c r="E1106" s="82" t="s">
        <v>4782</v>
      </c>
      <c r="F1106" s="81" t="s">
        <v>4783</v>
      </c>
      <c r="G1106" s="81" t="s">
        <v>134</v>
      </c>
      <c r="H1106" s="81"/>
    </row>
    <row r="1107" customFormat="false" ht="15" hidden="false" customHeight="false" outlineLevel="0" collapsed="false">
      <c r="A1107" s="81" t="n">
        <v>1106</v>
      </c>
      <c r="B1107" s="81" t="s">
        <v>7</v>
      </c>
      <c r="C1107" s="81" t="s">
        <v>2205</v>
      </c>
      <c r="D1107" s="81" t="s">
        <v>2206</v>
      </c>
      <c r="E1107" s="82" t="s">
        <v>2207</v>
      </c>
      <c r="F1107" s="81" t="s">
        <v>2208</v>
      </c>
      <c r="G1107" s="81" t="s">
        <v>134</v>
      </c>
      <c r="H1107" s="81" t="s">
        <v>845</v>
      </c>
    </row>
    <row r="1108" customFormat="false" ht="15" hidden="false" customHeight="false" outlineLevel="0" collapsed="false">
      <c r="A1108" s="81" t="n">
        <v>1107</v>
      </c>
      <c r="B1108" s="81" t="s">
        <v>7</v>
      </c>
      <c r="C1108" s="81" t="s">
        <v>4784</v>
      </c>
      <c r="D1108" s="81" t="s">
        <v>4785</v>
      </c>
      <c r="E1108" s="82" t="s">
        <v>4786</v>
      </c>
      <c r="F1108" s="81" t="s">
        <v>4787</v>
      </c>
      <c r="G1108" s="81" t="s">
        <v>134</v>
      </c>
      <c r="H1108" s="81" t="s">
        <v>4788</v>
      </c>
    </row>
    <row r="1109" customFormat="false" ht="15" hidden="false" customHeight="false" outlineLevel="0" collapsed="false">
      <c r="A1109" s="81" t="n">
        <v>1108</v>
      </c>
      <c r="B1109" s="81" t="s">
        <v>7</v>
      </c>
      <c r="C1109" s="81" t="s">
        <v>4789</v>
      </c>
      <c r="D1109" s="81" t="s">
        <v>4790</v>
      </c>
      <c r="E1109" s="82" t="s">
        <v>4791</v>
      </c>
      <c r="F1109" s="81" t="s">
        <v>4792</v>
      </c>
      <c r="G1109" s="81" t="s">
        <v>134</v>
      </c>
      <c r="H1109" s="81"/>
    </row>
    <row r="1110" customFormat="false" ht="15" hidden="false" customHeight="false" outlineLevel="0" collapsed="false">
      <c r="A1110" s="81" t="n">
        <v>1109</v>
      </c>
      <c r="B1110" s="81" t="s">
        <v>7</v>
      </c>
      <c r="C1110" s="81" t="s">
        <v>4793</v>
      </c>
      <c r="D1110" s="81" t="s">
        <v>4794</v>
      </c>
      <c r="E1110" s="82" t="s">
        <v>4795</v>
      </c>
      <c r="F1110" s="81" t="s">
        <v>4796</v>
      </c>
      <c r="G1110" s="81" t="s">
        <v>134</v>
      </c>
      <c r="H1110" s="81"/>
    </row>
    <row r="1111" customFormat="false" ht="15" hidden="false" customHeight="false" outlineLevel="0" collapsed="false">
      <c r="A1111" s="81" t="n">
        <v>1110</v>
      </c>
      <c r="B1111" s="81" t="s">
        <v>7</v>
      </c>
      <c r="C1111" s="81" t="s">
        <v>4797</v>
      </c>
      <c r="D1111" s="81" t="s">
        <v>4798</v>
      </c>
      <c r="E1111" s="82" t="s">
        <v>4799</v>
      </c>
      <c r="F1111" s="81" t="s">
        <v>4800</v>
      </c>
      <c r="G1111" s="81" t="s">
        <v>134</v>
      </c>
      <c r="H1111" s="81" t="s">
        <v>4801</v>
      </c>
    </row>
    <row r="1112" customFormat="false" ht="15" hidden="false" customHeight="false" outlineLevel="0" collapsed="false">
      <c r="A1112" s="81" t="n">
        <v>1111</v>
      </c>
      <c r="B1112" s="81" t="s">
        <v>7</v>
      </c>
      <c r="C1112" s="81" t="s">
        <v>4802</v>
      </c>
      <c r="D1112" s="81" t="s">
        <v>4803</v>
      </c>
      <c r="E1112" s="82" t="s">
        <v>4804</v>
      </c>
      <c r="F1112" s="81" t="s">
        <v>4805</v>
      </c>
      <c r="G1112" s="81" t="s">
        <v>134</v>
      </c>
      <c r="H1112" s="81" t="s">
        <v>4806</v>
      </c>
    </row>
    <row r="1113" customFormat="false" ht="15" hidden="false" customHeight="false" outlineLevel="0" collapsed="false">
      <c r="A1113" s="81" t="n">
        <v>1112</v>
      </c>
      <c r="B1113" s="81" t="s">
        <v>7</v>
      </c>
      <c r="C1113" s="81" t="s">
        <v>4807</v>
      </c>
      <c r="D1113" s="81" t="s">
        <v>4808</v>
      </c>
      <c r="E1113" s="82" t="s">
        <v>4809</v>
      </c>
      <c r="F1113" s="81" t="s">
        <v>4810</v>
      </c>
      <c r="G1113" s="81" t="s">
        <v>134</v>
      </c>
      <c r="H1113" s="81" t="s">
        <v>4811</v>
      </c>
    </row>
    <row r="1114" customFormat="false" ht="15" hidden="false" customHeight="false" outlineLevel="0" collapsed="false">
      <c r="A1114" s="81" t="n">
        <v>1113</v>
      </c>
      <c r="B1114" s="81" t="s">
        <v>7</v>
      </c>
      <c r="C1114" s="81" t="s">
        <v>4812</v>
      </c>
      <c r="D1114" s="81" t="s">
        <v>4813</v>
      </c>
      <c r="E1114" s="82" t="s">
        <v>4814</v>
      </c>
      <c r="F1114" s="81" t="s">
        <v>4815</v>
      </c>
      <c r="G1114" s="81" t="s">
        <v>134</v>
      </c>
      <c r="H1114" s="81"/>
    </row>
    <row r="1115" customFormat="false" ht="15" hidden="false" customHeight="false" outlineLevel="0" collapsed="false">
      <c r="A1115" s="81" t="n">
        <v>1114</v>
      </c>
      <c r="B1115" s="81" t="s">
        <v>7</v>
      </c>
      <c r="C1115" s="81" t="s">
        <v>4816</v>
      </c>
      <c r="D1115" s="81" t="s">
        <v>4817</v>
      </c>
      <c r="E1115" s="82" t="s">
        <v>4818</v>
      </c>
      <c r="F1115" s="81" t="s">
        <v>4659</v>
      </c>
      <c r="G1115" s="81" t="s">
        <v>134</v>
      </c>
      <c r="H1115" s="81" t="s">
        <v>845</v>
      </c>
    </row>
    <row r="1116" customFormat="false" ht="15" hidden="false" customHeight="false" outlineLevel="0" collapsed="false">
      <c r="A1116" s="81" t="n">
        <v>1115</v>
      </c>
      <c r="B1116" s="81" t="s">
        <v>7</v>
      </c>
      <c r="C1116" s="81" t="s">
        <v>4819</v>
      </c>
      <c r="D1116" s="81" t="s">
        <v>4820</v>
      </c>
      <c r="E1116" s="82" t="s">
        <v>4821</v>
      </c>
      <c r="F1116" s="81" t="s">
        <v>4822</v>
      </c>
      <c r="G1116" s="81" t="s">
        <v>134</v>
      </c>
      <c r="H1116" s="81" t="s">
        <v>4823</v>
      </c>
    </row>
    <row r="1117" customFormat="false" ht="15" hidden="false" customHeight="false" outlineLevel="0" collapsed="false">
      <c r="A1117" s="81" t="n">
        <v>1116</v>
      </c>
      <c r="B1117" s="81" t="s">
        <v>7</v>
      </c>
      <c r="C1117" s="81" t="s">
        <v>4824</v>
      </c>
      <c r="D1117" s="81" t="s">
        <v>4825</v>
      </c>
      <c r="E1117" s="82" t="s">
        <v>4826</v>
      </c>
      <c r="F1117" s="81" t="s">
        <v>4827</v>
      </c>
      <c r="G1117" s="81" t="s">
        <v>134</v>
      </c>
      <c r="H1117" s="81" t="s">
        <v>4828</v>
      </c>
    </row>
    <row r="1118" customFormat="false" ht="15" hidden="false" customHeight="false" outlineLevel="0" collapsed="false">
      <c r="A1118" s="81" t="n">
        <v>1117</v>
      </c>
      <c r="B1118" s="81" t="s">
        <v>7</v>
      </c>
      <c r="C1118" s="81" t="s">
        <v>4829</v>
      </c>
      <c r="D1118" s="81" t="s">
        <v>4830</v>
      </c>
      <c r="E1118" s="82" t="s">
        <v>4831</v>
      </c>
      <c r="F1118" s="81" t="s">
        <v>2317</v>
      </c>
      <c r="G1118" s="81" t="s">
        <v>136</v>
      </c>
      <c r="H1118" s="81" t="s">
        <v>4832</v>
      </c>
    </row>
    <row r="1119" customFormat="false" ht="15" hidden="false" customHeight="false" outlineLevel="0" collapsed="false">
      <c r="A1119" s="81" t="n">
        <v>1118</v>
      </c>
      <c r="B1119" s="81" t="s">
        <v>7</v>
      </c>
      <c r="C1119" s="81" t="s">
        <v>4833</v>
      </c>
      <c r="D1119" s="81" t="s">
        <v>4834</v>
      </c>
      <c r="E1119" s="82" t="s">
        <v>4835</v>
      </c>
      <c r="F1119" s="81" t="s">
        <v>4836</v>
      </c>
      <c r="G1119" s="81" t="s">
        <v>136</v>
      </c>
      <c r="H1119" s="81" t="s">
        <v>4837</v>
      </c>
    </row>
    <row r="1120" customFormat="false" ht="15" hidden="false" customHeight="false" outlineLevel="0" collapsed="false">
      <c r="A1120" s="81" t="n">
        <v>1119</v>
      </c>
      <c r="B1120" s="81" t="s">
        <v>7</v>
      </c>
      <c r="C1120" s="81" t="s">
        <v>4838</v>
      </c>
      <c r="D1120" s="81" t="s">
        <v>4839</v>
      </c>
      <c r="E1120" s="82" t="s">
        <v>4840</v>
      </c>
      <c r="F1120" s="81" t="s">
        <v>4841</v>
      </c>
      <c r="G1120" s="81" t="s">
        <v>136</v>
      </c>
      <c r="H1120" s="81" t="s">
        <v>4842</v>
      </c>
    </row>
    <row r="1121" customFormat="false" ht="15" hidden="false" customHeight="false" outlineLevel="0" collapsed="false">
      <c r="A1121" s="81" t="n">
        <v>1120</v>
      </c>
      <c r="B1121" s="81" t="s">
        <v>7</v>
      </c>
      <c r="C1121" s="81" t="s">
        <v>4843</v>
      </c>
      <c r="D1121" s="81" t="s">
        <v>4844</v>
      </c>
      <c r="E1121" s="82" t="s">
        <v>4845</v>
      </c>
      <c r="F1121" s="81" t="s">
        <v>4846</v>
      </c>
      <c r="G1121" s="81" t="s">
        <v>136</v>
      </c>
      <c r="H1121" s="81" t="s">
        <v>4847</v>
      </c>
    </row>
    <row r="1122" customFormat="false" ht="15" hidden="false" customHeight="false" outlineLevel="0" collapsed="false">
      <c r="A1122" s="81" t="n">
        <v>1121</v>
      </c>
      <c r="B1122" s="81" t="s">
        <v>7</v>
      </c>
      <c r="C1122" s="81" t="s">
        <v>4848</v>
      </c>
      <c r="D1122" s="81" t="s">
        <v>4849</v>
      </c>
      <c r="E1122" s="82" t="s">
        <v>4850</v>
      </c>
      <c r="F1122" s="81" t="s">
        <v>4851</v>
      </c>
      <c r="G1122" s="81" t="s">
        <v>136</v>
      </c>
      <c r="H1122" s="81" t="s">
        <v>4852</v>
      </c>
    </row>
    <row r="1123" customFormat="false" ht="15" hidden="false" customHeight="false" outlineLevel="0" collapsed="false">
      <c r="A1123" s="81" t="n">
        <v>1122</v>
      </c>
      <c r="B1123" s="81" t="s">
        <v>7</v>
      </c>
      <c r="C1123" s="81" t="s">
        <v>3978</v>
      </c>
      <c r="D1123" s="81" t="s">
        <v>3979</v>
      </c>
      <c r="E1123" s="82" t="s">
        <v>3980</v>
      </c>
      <c r="F1123" s="81" t="s">
        <v>3981</v>
      </c>
      <c r="G1123" s="81" t="s">
        <v>136</v>
      </c>
      <c r="H1123" s="81" t="s">
        <v>3982</v>
      </c>
    </row>
    <row r="1124" customFormat="false" ht="15" hidden="false" customHeight="false" outlineLevel="0" collapsed="false">
      <c r="A1124" s="81" t="n">
        <v>1123</v>
      </c>
      <c r="B1124" s="81" t="s">
        <v>7</v>
      </c>
      <c r="C1124" s="81" t="s">
        <v>4853</v>
      </c>
      <c r="D1124" s="81" t="s">
        <v>4854</v>
      </c>
      <c r="E1124" s="82" t="s">
        <v>4855</v>
      </c>
      <c r="F1124" s="81" t="s">
        <v>4856</v>
      </c>
      <c r="G1124" s="81" t="s">
        <v>136</v>
      </c>
      <c r="H1124" s="81" t="s">
        <v>4857</v>
      </c>
    </row>
    <row r="1125" customFormat="false" ht="15" hidden="false" customHeight="false" outlineLevel="0" collapsed="false">
      <c r="A1125" s="81" t="n">
        <v>1124</v>
      </c>
      <c r="B1125" s="81" t="s">
        <v>7</v>
      </c>
      <c r="C1125" s="81" t="s">
        <v>4858</v>
      </c>
      <c r="D1125" s="81" t="s">
        <v>4859</v>
      </c>
      <c r="E1125" s="82" t="s">
        <v>4860</v>
      </c>
      <c r="F1125" s="81" t="s">
        <v>4861</v>
      </c>
      <c r="G1125" s="81" t="s">
        <v>136</v>
      </c>
      <c r="H1125" s="81" t="s">
        <v>4862</v>
      </c>
    </row>
    <row r="1126" customFormat="false" ht="15" hidden="false" customHeight="false" outlineLevel="0" collapsed="false">
      <c r="A1126" s="81" t="n">
        <v>1125</v>
      </c>
      <c r="B1126" s="81" t="s">
        <v>7</v>
      </c>
      <c r="C1126" s="81" t="s">
        <v>4863</v>
      </c>
      <c r="D1126" s="81" t="s">
        <v>4864</v>
      </c>
      <c r="E1126" s="82" t="s">
        <v>4865</v>
      </c>
      <c r="F1126" s="81" t="s">
        <v>4866</v>
      </c>
      <c r="G1126" s="81" t="s">
        <v>136</v>
      </c>
      <c r="H1126" s="81" t="s">
        <v>4867</v>
      </c>
    </row>
    <row r="1127" customFormat="false" ht="15" hidden="false" customHeight="false" outlineLevel="0" collapsed="false">
      <c r="A1127" s="81" t="n">
        <v>1126</v>
      </c>
      <c r="B1127" s="81" t="s">
        <v>7</v>
      </c>
      <c r="C1127" s="81" t="s">
        <v>4868</v>
      </c>
      <c r="D1127" s="81" t="s">
        <v>4869</v>
      </c>
      <c r="E1127" s="82" t="s">
        <v>4870</v>
      </c>
      <c r="F1127" s="81" t="s">
        <v>4871</v>
      </c>
      <c r="G1127" s="81" t="s">
        <v>136</v>
      </c>
      <c r="H1127" s="81" t="s">
        <v>4872</v>
      </c>
    </row>
    <row r="1128" customFormat="false" ht="15" hidden="false" customHeight="false" outlineLevel="0" collapsed="false">
      <c r="A1128" s="81" t="n">
        <v>1127</v>
      </c>
      <c r="B1128" s="81" t="s">
        <v>7</v>
      </c>
      <c r="C1128" s="81" t="s">
        <v>4873</v>
      </c>
      <c r="D1128" s="81" t="s">
        <v>4874</v>
      </c>
      <c r="E1128" s="82" t="s">
        <v>4875</v>
      </c>
      <c r="F1128" s="81" t="s">
        <v>4876</v>
      </c>
      <c r="G1128" s="81" t="s">
        <v>136</v>
      </c>
      <c r="H1128" s="81"/>
    </row>
    <row r="1129" customFormat="false" ht="15" hidden="false" customHeight="false" outlineLevel="0" collapsed="false">
      <c r="A1129" s="81" t="n">
        <v>1128</v>
      </c>
      <c r="B1129" s="81" t="s">
        <v>7</v>
      </c>
      <c r="C1129" s="81" t="s">
        <v>4877</v>
      </c>
      <c r="D1129" s="81" t="s">
        <v>4878</v>
      </c>
      <c r="E1129" s="82" t="s">
        <v>4879</v>
      </c>
      <c r="F1129" s="81" t="s">
        <v>4880</v>
      </c>
      <c r="G1129" s="81" t="s">
        <v>136</v>
      </c>
      <c r="H1129" s="81" t="s">
        <v>4881</v>
      </c>
    </row>
    <row r="1130" customFormat="false" ht="15" hidden="false" customHeight="false" outlineLevel="0" collapsed="false">
      <c r="A1130" s="81" t="n">
        <v>1129</v>
      </c>
      <c r="B1130" s="81" t="s">
        <v>7</v>
      </c>
      <c r="C1130" s="81" t="s">
        <v>4882</v>
      </c>
      <c r="D1130" s="81" t="s">
        <v>4883</v>
      </c>
      <c r="E1130" s="82" t="s">
        <v>4884</v>
      </c>
      <c r="F1130" s="81" t="s">
        <v>4885</v>
      </c>
      <c r="G1130" s="81" t="s">
        <v>136</v>
      </c>
      <c r="H1130" s="81" t="s">
        <v>4886</v>
      </c>
    </row>
    <row r="1131" customFormat="false" ht="15" hidden="false" customHeight="false" outlineLevel="0" collapsed="false">
      <c r="A1131" s="81" t="n">
        <v>1130</v>
      </c>
      <c r="B1131" s="81" t="s">
        <v>7</v>
      </c>
      <c r="C1131" s="81" t="s">
        <v>4887</v>
      </c>
      <c r="D1131" s="81" t="s">
        <v>4888</v>
      </c>
      <c r="E1131" s="82" t="s">
        <v>4889</v>
      </c>
      <c r="F1131" s="81" t="s">
        <v>4890</v>
      </c>
      <c r="G1131" s="81" t="s">
        <v>136</v>
      </c>
      <c r="H1131" s="81" t="s">
        <v>4891</v>
      </c>
    </row>
    <row r="1132" customFormat="false" ht="15" hidden="false" customHeight="false" outlineLevel="0" collapsed="false">
      <c r="A1132" s="81" t="n">
        <v>1131</v>
      </c>
      <c r="B1132" s="81" t="s">
        <v>7</v>
      </c>
      <c r="C1132" s="81" t="s">
        <v>4892</v>
      </c>
      <c r="D1132" s="81" t="s">
        <v>4893</v>
      </c>
      <c r="E1132" s="82" t="s">
        <v>4894</v>
      </c>
      <c r="F1132" s="81" t="s">
        <v>4895</v>
      </c>
      <c r="G1132" s="81" t="s">
        <v>136</v>
      </c>
      <c r="H1132" s="81" t="s">
        <v>4896</v>
      </c>
    </row>
    <row r="1133" customFormat="false" ht="15" hidden="false" customHeight="false" outlineLevel="0" collapsed="false">
      <c r="A1133" s="81" t="n">
        <v>1132</v>
      </c>
      <c r="B1133" s="81" t="s">
        <v>7</v>
      </c>
      <c r="C1133" s="81" t="s">
        <v>4897</v>
      </c>
      <c r="D1133" s="81" t="s">
        <v>4898</v>
      </c>
      <c r="E1133" s="82" t="s">
        <v>4238</v>
      </c>
      <c r="F1133" s="81" t="s">
        <v>4239</v>
      </c>
      <c r="G1133" s="81" t="s">
        <v>136</v>
      </c>
      <c r="H1133" s="81" t="s">
        <v>4899</v>
      </c>
    </row>
    <row r="1134" customFormat="false" ht="15" hidden="false" customHeight="false" outlineLevel="0" collapsed="false">
      <c r="A1134" s="81" t="n">
        <v>1133</v>
      </c>
      <c r="B1134" s="81" t="s">
        <v>7</v>
      </c>
      <c r="C1134" s="81" t="s">
        <v>4900</v>
      </c>
      <c r="D1134" s="81" t="s">
        <v>4901</v>
      </c>
      <c r="E1134" s="82" t="s">
        <v>4902</v>
      </c>
      <c r="F1134" s="81" t="s">
        <v>4903</v>
      </c>
      <c r="G1134" s="81" t="s">
        <v>136</v>
      </c>
      <c r="H1134" s="81" t="s">
        <v>4904</v>
      </c>
    </row>
    <row r="1135" customFormat="false" ht="15" hidden="false" customHeight="false" outlineLevel="0" collapsed="false">
      <c r="A1135" s="81" t="n">
        <v>1134</v>
      </c>
      <c r="B1135" s="81" t="s">
        <v>7</v>
      </c>
      <c r="C1135" s="81" t="s">
        <v>4905</v>
      </c>
      <c r="D1135" s="81" t="s">
        <v>4906</v>
      </c>
      <c r="E1135" s="82" t="s">
        <v>4907</v>
      </c>
      <c r="F1135" s="81" t="s">
        <v>4908</v>
      </c>
      <c r="G1135" s="81" t="s">
        <v>136</v>
      </c>
      <c r="H1135" s="81" t="s">
        <v>4909</v>
      </c>
    </row>
    <row r="1136" customFormat="false" ht="15" hidden="false" customHeight="false" outlineLevel="0" collapsed="false">
      <c r="A1136" s="81" t="n">
        <v>1135</v>
      </c>
      <c r="B1136" s="81" t="s">
        <v>7</v>
      </c>
      <c r="C1136" s="81" t="s">
        <v>4910</v>
      </c>
      <c r="D1136" s="81" t="s">
        <v>4911</v>
      </c>
      <c r="E1136" s="82" t="s">
        <v>4912</v>
      </c>
      <c r="F1136" s="81" t="s">
        <v>4913</v>
      </c>
      <c r="G1136" s="81" t="s">
        <v>136</v>
      </c>
      <c r="H1136" s="81" t="s">
        <v>4914</v>
      </c>
    </row>
    <row r="1137" customFormat="false" ht="15" hidden="false" customHeight="false" outlineLevel="0" collapsed="false">
      <c r="A1137" s="81" t="n">
        <v>1136</v>
      </c>
      <c r="B1137" s="81" t="s">
        <v>7</v>
      </c>
      <c r="C1137" s="81" t="s">
        <v>4915</v>
      </c>
      <c r="D1137" s="81" t="s">
        <v>4916</v>
      </c>
      <c r="E1137" s="82" t="s">
        <v>4917</v>
      </c>
      <c r="F1137" s="81" t="s">
        <v>4918</v>
      </c>
      <c r="G1137" s="81" t="s">
        <v>136</v>
      </c>
      <c r="H1137" s="81" t="s">
        <v>4919</v>
      </c>
    </row>
    <row r="1138" customFormat="false" ht="15" hidden="false" customHeight="false" outlineLevel="0" collapsed="false">
      <c r="A1138" s="81" t="n">
        <v>1137</v>
      </c>
      <c r="B1138" s="81" t="s">
        <v>7</v>
      </c>
      <c r="C1138" s="81" t="s">
        <v>4920</v>
      </c>
      <c r="D1138" s="81" t="s">
        <v>4921</v>
      </c>
      <c r="E1138" s="82" t="s">
        <v>4922</v>
      </c>
      <c r="F1138" s="81" t="s">
        <v>4923</v>
      </c>
      <c r="G1138" s="81" t="s">
        <v>136</v>
      </c>
      <c r="H1138" s="81" t="s">
        <v>4924</v>
      </c>
    </row>
    <row r="1139" customFormat="false" ht="15" hidden="false" customHeight="false" outlineLevel="0" collapsed="false">
      <c r="A1139" s="81" t="n">
        <v>1138</v>
      </c>
      <c r="B1139" s="81" t="s">
        <v>7</v>
      </c>
      <c r="C1139" s="81" t="s">
        <v>1868</v>
      </c>
      <c r="D1139" s="81" t="s">
        <v>1869</v>
      </c>
      <c r="E1139" s="82" t="s">
        <v>1870</v>
      </c>
      <c r="F1139" s="81" t="s">
        <v>1871</v>
      </c>
      <c r="G1139" s="81" t="s">
        <v>136</v>
      </c>
      <c r="H1139" s="81" t="s">
        <v>845</v>
      </c>
    </row>
    <row r="1140" customFormat="false" ht="15" hidden="false" customHeight="false" outlineLevel="0" collapsed="false">
      <c r="A1140" s="81" t="n">
        <v>1139</v>
      </c>
      <c r="B1140" s="81" t="s">
        <v>7</v>
      </c>
      <c r="C1140" s="81" t="s">
        <v>4925</v>
      </c>
      <c r="D1140" s="81" t="s">
        <v>4926</v>
      </c>
      <c r="E1140" s="82" t="s">
        <v>4927</v>
      </c>
      <c r="F1140" s="81" t="s">
        <v>4928</v>
      </c>
      <c r="G1140" s="81" t="s">
        <v>136</v>
      </c>
      <c r="H1140" s="81" t="s">
        <v>4929</v>
      </c>
    </row>
    <row r="1141" customFormat="false" ht="15" hidden="false" customHeight="false" outlineLevel="0" collapsed="false">
      <c r="A1141" s="81" t="n">
        <v>1140</v>
      </c>
      <c r="B1141" s="81" t="s">
        <v>7</v>
      </c>
      <c r="C1141" s="81" t="s">
        <v>4930</v>
      </c>
      <c r="D1141" s="81" t="s">
        <v>4931</v>
      </c>
      <c r="E1141" s="82" t="s">
        <v>4932</v>
      </c>
      <c r="F1141" s="81" t="s">
        <v>4933</v>
      </c>
      <c r="G1141" s="81" t="s">
        <v>136</v>
      </c>
      <c r="H1141" s="81" t="s">
        <v>4934</v>
      </c>
    </row>
    <row r="1142" customFormat="false" ht="15" hidden="false" customHeight="false" outlineLevel="0" collapsed="false">
      <c r="A1142" s="81" t="n">
        <v>1141</v>
      </c>
      <c r="B1142" s="81" t="s">
        <v>7</v>
      </c>
      <c r="C1142" s="81" t="s">
        <v>4935</v>
      </c>
      <c r="D1142" s="81" t="s">
        <v>4936</v>
      </c>
      <c r="E1142" s="82" t="s">
        <v>4937</v>
      </c>
      <c r="F1142" s="81" t="s">
        <v>4938</v>
      </c>
      <c r="G1142" s="81" t="s">
        <v>136</v>
      </c>
      <c r="H1142" s="81" t="s">
        <v>845</v>
      </c>
    </row>
    <row r="1143" customFormat="false" ht="15" hidden="false" customHeight="false" outlineLevel="0" collapsed="false">
      <c r="A1143" s="81" t="n">
        <v>1142</v>
      </c>
      <c r="B1143" s="81" t="s">
        <v>7</v>
      </c>
      <c r="C1143" s="81" t="s">
        <v>4939</v>
      </c>
      <c r="D1143" s="81" t="s">
        <v>4940</v>
      </c>
      <c r="E1143" s="82" t="s">
        <v>4941</v>
      </c>
      <c r="F1143" s="81" t="s">
        <v>4942</v>
      </c>
      <c r="G1143" s="81" t="s">
        <v>136</v>
      </c>
      <c r="H1143" s="81" t="s">
        <v>4943</v>
      </c>
    </row>
    <row r="1144" customFormat="false" ht="15" hidden="false" customHeight="false" outlineLevel="0" collapsed="false">
      <c r="A1144" s="81" t="n">
        <v>1143</v>
      </c>
      <c r="B1144" s="81" t="s">
        <v>7</v>
      </c>
      <c r="C1144" s="81" t="s">
        <v>4944</v>
      </c>
      <c r="D1144" s="81" t="s">
        <v>4945</v>
      </c>
      <c r="E1144" s="82" t="s">
        <v>4946</v>
      </c>
      <c r="F1144" s="81" t="s">
        <v>4947</v>
      </c>
      <c r="G1144" s="81" t="s">
        <v>136</v>
      </c>
      <c r="H1144" s="81" t="s">
        <v>4948</v>
      </c>
    </row>
    <row r="1145" customFormat="false" ht="15" hidden="false" customHeight="false" outlineLevel="0" collapsed="false">
      <c r="A1145" s="81" t="n">
        <v>1144</v>
      </c>
      <c r="B1145" s="81" t="s">
        <v>7</v>
      </c>
      <c r="C1145" s="81" t="s">
        <v>4949</v>
      </c>
      <c r="D1145" s="81" t="s">
        <v>4950</v>
      </c>
      <c r="E1145" s="82" t="s">
        <v>4951</v>
      </c>
      <c r="F1145" s="81" t="s">
        <v>4952</v>
      </c>
      <c r="G1145" s="81" t="s">
        <v>136</v>
      </c>
      <c r="H1145" s="81" t="s">
        <v>4953</v>
      </c>
    </row>
    <row r="1146" customFormat="false" ht="15" hidden="false" customHeight="false" outlineLevel="0" collapsed="false">
      <c r="A1146" s="81" t="n">
        <v>1145</v>
      </c>
      <c r="B1146" s="81" t="s">
        <v>7</v>
      </c>
      <c r="C1146" s="81" t="s">
        <v>4954</v>
      </c>
      <c r="D1146" s="81" t="s">
        <v>4955</v>
      </c>
      <c r="E1146" s="82" t="s">
        <v>4956</v>
      </c>
      <c r="F1146" s="81" t="s">
        <v>4957</v>
      </c>
      <c r="G1146" s="81" t="s">
        <v>136</v>
      </c>
      <c r="H1146" s="81" t="s">
        <v>4958</v>
      </c>
    </row>
    <row r="1147" customFormat="false" ht="15" hidden="false" customHeight="false" outlineLevel="0" collapsed="false">
      <c r="A1147" s="81" t="n">
        <v>1146</v>
      </c>
      <c r="B1147" s="81" t="s">
        <v>7</v>
      </c>
      <c r="C1147" s="81" t="s">
        <v>4959</v>
      </c>
      <c r="D1147" s="81" t="s">
        <v>4960</v>
      </c>
      <c r="E1147" s="82" t="s">
        <v>4961</v>
      </c>
      <c r="F1147" s="81" t="s">
        <v>4962</v>
      </c>
      <c r="G1147" s="81" t="s">
        <v>136</v>
      </c>
      <c r="H1147" s="81" t="s">
        <v>4963</v>
      </c>
    </row>
    <row r="1148" customFormat="false" ht="15" hidden="false" customHeight="false" outlineLevel="0" collapsed="false">
      <c r="A1148" s="81" t="n">
        <v>1147</v>
      </c>
      <c r="B1148" s="81" t="s">
        <v>7</v>
      </c>
      <c r="C1148" s="81" t="s">
        <v>4964</v>
      </c>
      <c r="D1148" s="81" t="s">
        <v>4965</v>
      </c>
      <c r="E1148" s="82" t="s">
        <v>4966</v>
      </c>
      <c r="F1148" s="81" t="s">
        <v>4967</v>
      </c>
      <c r="G1148" s="81" t="s">
        <v>136</v>
      </c>
      <c r="H1148" s="81" t="s">
        <v>4968</v>
      </c>
    </row>
    <row r="1149" customFormat="false" ht="15" hidden="false" customHeight="false" outlineLevel="0" collapsed="false">
      <c r="A1149" s="81" t="n">
        <v>1148</v>
      </c>
      <c r="B1149" s="81" t="s">
        <v>7</v>
      </c>
      <c r="C1149" s="81" t="s">
        <v>4969</v>
      </c>
      <c r="D1149" s="81" t="s">
        <v>4970</v>
      </c>
      <c r="E1149" s="82" t="s">
        <v>4971</v>
      </c>
      <c r="F1149" s="81" t="s">
        <v>4972</v>
      </c>
      <c r="G1149" s="81" t="s">
        <v>136</v>
      </c>
      <c r="H1149" s="81" t="s">
        <v>4973</v>
      </c>
    </row>
    <row r="1150" customFormat="false" ht="15" hidden="false" customHeight="false" outlineLevel="0" collapsed="false">
      <c r="A1150" s="81" t="n">
        <v>1149</v>
      </c>
      <c r="B1150" s="81" t="s">
        <v>7</v>
      </c>
      <c r="C1150" s="81" t="s">
        <v>4974</v>
      </c>
      <c r="D1150" s="81" t="s">
        <v>4975</v>
      </c>
      <c r="E1150" s="82" t="s">
        <v>4976</v>
      </c>
      <c r="F1150" s="81" t="s">
        <v>4977</v>
      </c>
      <c r="G1150" s="81" t="s">
        <v>136</v>
      </c>
      <c r="H1150" s="81" t="s">
        <v>4978</v>
      </c>
    </row>
    <row r="1151" customFormat="false" ht="15" hidden="false" customHeight="false" outlineLevel="0" collapsed="false">
      <c r="A1151" s="81" t="n">
        <v>1150</v>
      </c>
      <c r="B1151" s="81" t="s">
        <v>7</v>
      </c>
      <c r="C1151" s="81" t="s">
        <v>4979</v>
      </c>
      <c r="D1151" s="81" t="s">
        <v>4980</v>
      </c>
      <c r="E1151" s="82" t="s">
        <v>4981</v>
      </c>
      <c r="F1151" s="81" t="s">
        <v>4982</v>
      </c>
      <c r="G1151" s="81" t="s">
        <v>136</v>
      </c>
      <c r="H1151" s="81"/>
    </row>
    <row r="1152" customFormat="false" ht="15" hidden="false" customHeight="false" outlineLevel="0" collapsed="false">
      <c r="A1152" s="81" t="n">
        <v>1151</v>
      </c>
      <c r="B1152" s="81" t="s">
        <v>7</v>
      </c>
      <c r="C1152" s="81" t="s">
        <v>4983</v>
      </c>
      <c r="D1152" s="81" t="s">
        <v>4984</v>
      </c>
      <c r="E1152" s="82" t="s">
        <v>4985</v>
      </c>
      <c r="F1152" s="81" t="s">
        <v>4986</v>
      </c>
      <c r="G1152" s="81" t="s">
        <v>136</v>
      </c>
      <c r="H1152" s="81" t="s">
        <v>4987</v>
      </c>
    </row>
    <row r="1153" customFormat="false" ht="15" hidden="false" customHeight="false" outlineLevel="0" collapsed="false">
      <c r="A1153" s="81" t="n">
        <v>1152</v>
      </c>
      <c r="B1153" s="81" t="s">
        <v>7</v>
      </c>
      <c r="C1153" s="81" t="s">
        <v>4988</v>
      </c>
      <c r="D1153" s="81" t="s">
        <v>4989</v>
      </c>
      <c r="E1153" s="82" t="s">
        <v>4990</v>
      </c>
      <c r="F1153" s="81" t="s">
        <v>4991</v>
      </c>
      <c r="G1153" s="81" t="s">
        <v>138</v>
      </c>
      <c r="H1153" s="81"/>
    </row>
    <row r="1154" customFormat="false" ht="15" hidden="false" customHeight="false" outlineLevel="0" collapsed="false">
      <c r="A1154" s="81" t="n">
        <v>1153</v>
      </c>
      <c r="B1154" s="81" t="s">
        <v>7</v>
      </c>
      <c r="C1154" s="81" t="s">
        <v>1003</v>
      </c>
      <c r="D1154" s="81" t="s">
        <v>4992</v>
      </c>
      <c r="E1154" s="82" t="s">
        <v>4993</v>
      </c>
      <c r="F1154" s="81" t="s">
        <v>4994</v>
      </c>
      <c r="G1154" s="81" t="s">
        <v>138</v>
      </c>
      <c r="H1154" s="81"/>
    </row>
    <row r="1155" customFormat="false" ht="15" hidden="false" customHeight="false" outlineLevel="0" collapsed="false">
      <c r="A1155" s="81" t="n">
        <v>1154</v>
      </c>
      <c r="B1155" s="81" t="s">
        <v>7</v>
      </c>
      <c r="C1155" s="81" t="s">
        <v>4995</v>
      </c>
      <c r="D1155" s="81" t="s">
        <v>4996</v>
      </c>
      <c r="E1155" s="82" t="s">
        <v>4997</v>
      </c>
      <c r="F1155" s="81" t="s">
        <v>4998</v>
      </c>
      <c r="G1155" s="81" t="s">
        <v>138</v>
      </c>
      <c r="H1155" s="81" t="s">
        <v>4999</v>
      </c>
    </row>
    <row r="1156" customFormat="false" ht="15" hidden="false" customHeight="false" outlineLevel="0" collapsed="false">
      <c r="A1156" s="81" t="n">
        <v>1155</v>
      </c>
      <c r="B1156" s="81" t="s">
        <v>7</v>
      </c>
      <c r="C1156" s="81" t="s">
        <v>5000</v>
      </c>
      <c r="D1156" s="81" t="s">
        <v>5001</v>
      </c>
      <c r="E1156" s="82" t="s">
        <v>5002</v>
      </c>
      <c r="F1156" s="81" t="s">
        <v>5003</v>
      </c>
      <c r="G1156" s="81" t="s">
        <v>138</v>
      </c>
      <c r="H1156" s="81"/>
    </row>
    <row r="1157" customFormat="false" ht="15" hidden="false" customHeight="false" outlineLevel="0" collapsed="false">
      <c r="A1157" s="81" t="n">
        <v>1156</v>
      </c>
      <c r="B1157" s="81" t="s">
        <v>7</v>
      </c>
      <c r="C1157" s="81" t="s">
        <v>5004</v>
      </c>
      <c r="D1157" s="81" t="s">
        <v>5005</v>
      </c>
      <c r="E1157" s="82" t="s">
        <v>5006</v>
      </c>
      <c r="F1157" s="81" t="s">
        <v>5007</v>
      </c>
      <c r="G1157" s="81" t="s">
        <v>138</v>
      </c>
      <c r="H1157" s="81"/>
    </row>
    <row r="1158" customFormat="false" ht="15" hidden="false" customHeight="false" outlineLevel="0" collapsed="false">
      <c r="A1158" s="81" t="n">
        <v>1157</v>
      </c>
      <c r="B1158" s="81" t="s">
        <v>7</v>
      </c>
      <c r="C1158" s="81" t="s">
        <v>5008</v>
      </c>
      <c r="D1158" s="81" t="s">
        <v>5009</v>
      </c>
      <c r="E1158" s="82" t="s">
        <v>594</v>
      </c>
      <c r="F1158" s="81" t="s">
        <v>595</v>
      </c>
      <c r="G1158" s="81" t="s">
        <v>138</v>
      </c>
      <c r="H1158" s="81"/>
    </row>
    <row r="1159" customFormat="false" ht="15" hidden="false" customHeight="false" outlineLevel="0" collapsed="false">
      <c r="A1159" s="81" t="n">
        <v>1158</v>
      </c>
      <c r="B1159" s="81" t="s">
        <v>7</v>
      </c>
      <c r="C1159" s="81" t="s">
        <v>5010</v>
      </c>
      <c r="D1159" s="81" t="s">
        <v>5011</v>
      </c>
      <c r="E1159" s="82" t="s">
        <v>5012</v>
      </c>
      <c r="F1159" s="81" t="s">
        <v>5013</v>
      </c>
      <c r="G1159" s="81" t="s">
        <v>138</v>
      </c>
      <c r="H1159" s="81"/>
    </row>
    <row r="1160" customFormat="false" ht="15" hidden="false" customHeight="false" outlineLevel="0" collapsed="false">
      <c r="A1160" s="81" t="n">
        <v>1159</v>
      </c>
      <c r="B1160" s="81" t="s">
        <v>7</v>
      </c>
      <c r="C1160" s="81" t="s">
        <v>5014</v>
      </c>
      <c r="D1160" s="81" t="s">
        <v>5015</v>
      </c>
      <c r="E1160" s="82" t="s">
        <v>5016</v>
      </c>
      <c r="F1160" s="81" t="s">
        <v>1437</v>
      </c>
      <c r="G1160" s="81" t="s">
        <v>138</v>
      </c>
      <c r="H1160" s="81"/>
    </row>
    <row r="1161" customFormat="false" ht="15" hidden="false" customHeight="false" outlineLevel="0" collapsed="false">
      <c r="A1161" s="81" t="n">
        <v>1160</v>
      </c>
      <c r="B1161" s="81" t="s">
        <v>7</v>
      </c>
      <c r="C1161" s="81" t="s">
        <v>5017</v>
      </c>
      <c r="D1161" s="81" t="s">
        <v>5018</v>
      </c>
      <c r="E1161" s="82" t="s">
        <v>5019</v>
      </c>
      <c r="F1161" s="81" t="s">
        <v>5020</v>
      </c>
      <c r="G1161" s="81" t="s">
        <v>138</v>
      </c>
      <c r="H1161" s="81" t="s">
        <v>5021</v>
      </c>
    </row>
    <row r="1162" customFormat="false" ht="15" hidden="false" customHeight="false" outlineLevel="0" collapsed="false">
      <c r="A1162" s="81" t="n">
        <v>1161</v>
      </c>
      <c r="B1162" s="81" t="s">
        <v>7</v>
      </c>
      <c r="C1162" s="81" t="s">
        <v>5022</v>
      </c>
      <c r="D1162" s="81" t="s">
        <v>5023</v>
      </c>
      <c r="E1162" s="82" t="s">
        <v>5024</v>
      </c>
      <c r="F1162" s="81" t="s">
        <v>5025</v>
      </c>
      <c r="G1162" s="81" t="s">
        <v>138</v>
      </c>
      <c r="H1162" s="81" t="s">
        <v>5021</v>
      </c>
    </row>
    <row r="1163" customFormat="false" ht="15" hidden="false" customHeight="false" outlineLevel="0" collapsed="false">
      <c r="A1163" s="81" t="n">
        <v>1162</v>
      </c>
      <c r="B1163" s="81" t="s">
        <v>7</v>
      </c>
      <c r="C1163" s="81" t="s">
        <v>1317</v>
      </c>
      <c r="D1163" s="81" t="s">
        <v>5026</v>
      </c>
      <c r="E1163" s="82" t="s">
        <v>5027</v>
      </c>
      <c r="F1163" s="81" t="s">
        <v>5028</v>
      </c>
      <c r="G1163" s="81" t="s">
        <v>138</v>
      </c>
      <c r="H1163" s="81" t="s">
        <v>5029</v>
      </c>
    </row>
    <row r="1164" customFormat="false" ht="15" hidden="false" customHeight="false" outlineLevel="0" collapsed="false">
      <c r="A1164" s="81" t="n">
        <v>1163</v>
      </c>
      <c r="B1164" s="81" t="s">
        <v>7</v>
      </c>
      <c r="C1164" s="81" t="s">
        <v>5030</v>
      </c>
      <c r="D1164" s="81" t="s">
        <v>5031</v>
      </c>
      <c r="E1164" s="82" t="s">
        <v>5032</v>
      </c>
      <c r="F1164" s="81" t="s">
        <v>5033</v>
      </c>
      <c r="G1164" s="81" t="s">
        <v>138</v>
      </c>
      <c r="H1164" s="81"/>
    </row>
    <row r="1165" customFormat="false" ht="15" hidden="false" customHeight="false" outlineLevel="0" collapsed="false">
      <c r="A1165" s="81" t="n">
        <v>1164</v>
      </c>
      <c r="B1165" s="81" t="s">
        <v>7</v>
      </c>
      <c r="C1165" s="81" t="s">
        <v>5034</v>
      </c>
      <c r="D1165" s="81" t="s">
        <v>5035</v>
      </c>
      <c r="E1165" s="82" t="s">
        <v>5036</v>
      </c>
      <c r="F1165" s="81" t="s">
        <v>5037</v>
      </c>
      <c r="G1165" s="81" t="s">
        <v>138</v>
      </c>
      <c r="H1165" s="81"/>
    </row>
    <row r="1166" customFormat="false" ht="15" hidden="false" customHeight="false" outlineLevel="0" collapsed="false">
      <c r="A1166" s="81" t="n">
        <v>1165</v>
      </c>
      <c r="B1166" s="81" t="s">
        <v>7</v>
      </c>
      <c r="C1166" s="81" t="s">
        <v>5038</v>
      </c>
      <c r="D1166" s="81" t="s">
        <v>5039</v>
      </c>
      <c r="E1166" s="82" t="s">
        <v>5040</v>
      </c>
      <c r="F1166" s="81" t="s">
        <v>5041</v>
      </c>
      <c r="G1166" s="81" t="s">
        <v>138</v>
      </c>
      <c r="H1166" s="81"/>
    </row>
    <row r="1167" customFormat="false" ht="15" hidden="false" customHeight="false" outlineLevel="0" collapsed="false">
      <c r="A1167" s="81" t="n">
        <v>1166</v>
      </c>
      <c r="B1167" s="81" t="s">
        <v>7</v>
      </c>
      <c r="C1167" s="81" t="s">
        <v>5042</v>
      </c>
      <c r="D1167" s="81" t="s">
        <v>5043</v>
      </c>
      <c r="E1167" s="82" t="s">
        <v>5044</v>
      </c>
      <c r="F1167" s="81" t="s">
        <v>5045</v>
      </c>
      <c r="G1167" s="81" t="s">
        <v>138</v>
      </c>
      <c r="H1167" s="81" t="s">
        <v>5046</v>
      </c>
    </row>
    <row r="1168" customFormat="false" ht="15" hidden="false" customHeight="false" outlineLevel="0" collapsed="false">
      <c r="A1168" s="81" t="n">
        <v>1167</v>
      </c>
      <c r="B1168" s="81" t="s">
        <v>7</v>
      </c>
      <c r="C1168" s="81" t="s">
        <v>5047</v>
      </c>
      <c r="D1168" s="81" t="s">
        <v>5048</v>
      </c>
      <c r="E1168" s="82" t="s">
        <v>5049</v>
      </c>
      <c r="F1168" s="81" t="s">
        <v>5050</v>
      </c>
      <c r="G1168" s="81" t="s">
        <v>138</v>
      </c>
      <c r="H1168" s="81"/>
    </row>
    <row r="1169" customFormat="false" ht="15" hidden="false" customHeight="false" outlineLevel="0" collapsed="false">
      <c r="A1169" s="81" t="n">
        <v>1168</v>
      </c>
      <c r="B1169" s="81" t="s">
        <v>7</v>
      </c>
      <c r="C1169" s="81" t="s">
        <v>5051</v>
      </c>
      <c r="D1169" s="81" t="s">
        <v>5052</v>
      </c>
      <c r="E1169" s="82" t="s">
        <v>5053</v>
      </c>
      <c r="F1169" s="81" t="s">
        <v>5054</v>
      </c>
      <c r="G1169" s="81" t="s">
        <v>138</v>
      </c>
      <c r="H1169" s="81"/>
    </row>
    <row r="1170" customFormat="false" ht="15" hidden="false" customHeight="false" outlineLevel="0" collapsed="false">
      <c r="A1170" s="81" t="n">
        <v>1169</v>
      </c>
      <c r="B1170" s="81" t="s">
        <v>7</v>
      </c>
      <c r="C1170" s="81" t="s">
        <v>5055</v>
      </c>
      <c r="D1170" s="81" t="s">
        <v>5056</v>
      </c>
      <c r="E1170" s="82" t="s">
        <v>5057</v>
      </c>
      <c r="F1170" s="81" t="s">
        <v>5058</v>
      </c>
      <c r="G1170" s="81" t="s">
        <v>138</v>
      </c>
      <c r="H1170" s="81" t="s">
        <v>5059</v>
      </c>
    </row>
    <row r="1171" customFormat="false" ht="15" hidden="false" customHeight="false" outlineLevel="0" collapsed="false">
      <c r="A1171" s="81" t="n">
        <v>1170</v>
      </c>
      <c r="B1171" s="81" t="s">
        <v>7</v>
      </c>
      <c r="C1171" s="81" t="s">
        <v>5060</v>
      </c>
      <c r="D1171" s="81" t="s">
        <v>5061</v>
      </c>
      <c r="E1171" s="82" t="s">
        <v>5062</v>
      </c>
      <c r="F1171" s="81" t="s">
        <v>5063</v>
      </c>
      <c r="G1171" s="81" t="s">
        <v>138</v>
      </c>
      <c r="H1171" s="81"/>
    </row>
    <row r="1172" customFormat="false" ht="15" hidden="false" customHeight="false" outlineLevel="0" collapsed="false">
      <c r="A1172" s="81" t="n">
        <v>1171</v>
      </c>
      <c r="B1172" s="81" t="s">
        <v>7</v>
      </c>
      <c r="C1172" s="81" t="s">
        <v>5064</v>
      </c>
      <c r="D1172" s="81" t="s">
        <v>5065</v>
      </c>
      <c r="E1172" s="82" t="s">
        <v>5066</v>
      </c>
      <c r="F1172" s="81" t="s">
        <v>5067</v>
      </c>
      <c r="G1172" s="81" t="s">
        <v>138</v>
      </c>
      <c r="H1172" s="81"/>
    </row>
    <row r="1173" customFormat="false" ht="15" hidden="false" customHeight="false" outlineLevel="0" collapsed="false">
      <c r="A1173" s="81" t="n">
        <v>1172</v>
      </c>
      <c r="B1173" s="81" t="s">
        <v>7</v>
      </c>
      <c r="C1173" s="81" t="s">
        <v>5068</v>
      </c>
      <c r="D1173" s="81" t="s">
        <v>5069</v>
      </c>
      <c r="E1173" s="82" t="s">
        <v>5070</v>
      </c>
      <c r="F1173" s="81" t="s">
        <v>5071</v>
      </c>
      <c r="G1173" s="81" t="s">
        <v>138</v>
      </c>
      <c r="H1173" s="81"/>
    </row>
    <row r="1174" customFormat="false" ht="15" hidden="false" customHeight="false" outlineLevel="0" collapsed="false">
      <c r="A1174" s="81" t="n">
        <v>1173</v>
      </c>
      <c r="B1174" s="81" t="s">
        <v>7</v>
      </c>
      <c r="C1174" s="81" t="s">
        <v>5072</v>
      </c>
      <c r="D1174" s="81" t="s">
        <v>5073</v>
      </c>
      <c r="E1174" s="82" t="s">
        <v>5074</v>
      </c>
      <c r="F1174" s="81" t="s">
        <v>5075</v>
      </c>
      <c r="G1174" s="81" t="s">
        <v>138</v>
      </c>
      <c r="H1174" s="81"/>
    </row>
    <row r="1175" customFormat="false" ht="15" hidden="false" customHeight="false" outlineLevel="0" collapsed="false">
      <c r="A1175" s="81" t="n">
        <v>1174</v>
      </c>
      <c r="B1175" s="81" t="s">
        <v>7</v>
      </c>
      <c r="C1175" s="81" t="s">
        <v>5076</v>
      </c>
      <c r="D1175" s="81" t="s">
        <v>5077</v>
      </c>
      <c r="E1175" s="82" t="s">
        <v>5078</v>
      </c>
      <c r="F1175" s="81" t="s">
        <v>5079</v>
      </c>
      <c r="G1175" s="81" t="s">
        <v>138</v>
      </c>
      <c r="H1175" s="81"/>
    </row>
    <row r="1176" customFormat="false" ht="15" hidden="false" customHeight="false" outlineLevel="0" collapsed="false">
      <c r="A1176" s="81" t="n">
        <v>1175</v>
      </c>
      <c r="B1176" s="81" t="s">
        <v>7</v>
      </c>
      <c r="C1176" s="81" t="s">
        <v>5080</v>
      </c>
      <c r="D1176" s="81" t="s">
        <v>5081</v>
      </c>
      <c r="E1176" s="82" t="s">
        <v>5082</v>
      </c>
      <c r="F1176" s="81" t="s">
        <v>5083</v>
      </c>
      <c r="G1176" s="81" t="s">
        <v>138</v>
      </c>
      <c r="H1176" s="81"/>
    </row>
    <row r="1177" customFormat="false" ht="15" hidden="false" customHeight="false" outlineLevel="0" collapsed="false">
      <c r="A1177" s="81" t="n">
        <v>1176</v>
      </c>
      <c r="B1177" s="81" t="s">
        <v>7</v>
      </c>
      <c r="C1177" s="81" t="s">
        <v>5084</v>
      </c>
      <c r="D1177" s="81" t="s">
        <v>5085</v>
      </c>
      <c r="E1177" s="82" t="s">
        <v>5086</v>
      </c>
      <c r="F1177" s="81" t="s">
        <v>5087</v>
      </c>
      <c r="G1177" s="81" t="s">
        <v>138</v>
      </c>
      <c r="H1177" s="81"/>
    </row>
    <row r="1178" customFormat="false" ht="15" hidden="false" customHeight="false" outlineLevel="0" collapsed="false">
      <c r="A1178" s="81" t="n">
        <v>1177</v>
      </c>
      <c r="B1178" s="81" t="s">
        <v>7</v>
      </c>
      <c r="C1178" s="81" t="s">
        <v>5088</v>
      </c>
      <c r="D1178" s="81" t="s">
        <v>5089</v>
      </c>
      <c r="E1178" s="82" t="s">
        <v>5090</v>
      </c>
      <c r="F1178" s="81" t="s">
        <v>5091</v>
      </c>
      <c r="G1178" s="81" t="s">
        <v>138</v>
      </c>
      <c r="H1178" s="81"/>
    </row>
    <row r="1179" customFormat="false" ht="15" hidden="false" customHeight="false" outlineLevel="0" collapsed="false">
      <c r="A1179" s="81" t="n">
        <v>1178</v>
      </c>
      <c r="B1179" s="81" t="s">
        <v>7</v>
      </c>
      <c r="C1179" s="81" t="s">
        <v>5092</v>
      </c>
      <c r="D1179" s="81" t="s">
        <v>5093</v>
      </c>
      <c r="E1179" s="82" t="s">
        <v>5094</v>
      </c>
      <c r="F1179" s="81" t="s">
        <v>5095</v>
      </c>
      <c r="G1179" s="81" t="s">
        <v>138</v>
      </c>
      <c r="H1179" s="81"/>
    </row>
    <row r="1180" customFormat="false" ht="15" hidden="false" customHeight="false" outlineLevel="0" collapsed="false">
      <c r="A1180" s="81" t="n">
        <v>1179</v>
      </c>
      <c r="B1180" s="81" t="s">
        <v>7</v>
      </c>
      <c r="C1180" s="81" t="s">
        <v>5096</v>
      </c>
      <c r="D1180" s="81" t="s">
        <v>5097</v>
      </c>
      <c r="E1180" s="82" t="s">
        <v>5098</v>
      </c>
      <c r="F1180" s="81" t="s">
        <v>5099</v>
      </c>
      <c r="G1180" s="81" t="s">
        <v>138</v>
      </c>
      <c r="H1180" s="81"/>
    </row>
    <row r="1181" customFormat="false" ht="15" hidden="false" customHeight="false" outlineLevel="0" collapsed="false">
      <c r="A1181" s="81" t="n">
        <v>1180</v>
      </c>
      <c r="B1181" s="81" t="s">
        <v>7</v>
      </c>
      <c r="C1181" s="81" t="s">
        <v>5100</v>
      </c>
      <c r="D1181" s="81" t="s">
        <v>5101</v>
      </c>
      <c r="E1181" s="82" t="s">
        <v>5102</v>
      </c>
      <c r="F1181" s="81" t="s">
        <v>5103</v>
      </c>
      <c r="G1181" s="81" t="s">
        <v>138</v>
      </c>
      <c r="H1181" s="81" t="s">
        <v>5104</v>
      </c>
    </row>
    <row r="1182" customFormat="false" ht="15" hidden="false" customHeight="false" outlineLevel="0" collapsed="false">
      <c r="A1182" s="81" t="n">
        <v>1181</v>
      </c>
      <c r="B1182" s="81" t="s">
        <v>7</v>
      </c>
      <c r="C1182" s="81" t="s">
        <v>5105</v>
      </c>
      <c r="D1182" s="81" t="s">
        <v>5106</v>
      </c>
      <c r="E1182" s="82" t="s">
        <v>5107</v>
      </c>
      <c r="F1182" s="81" t="s">
        <v>5108</v>
      </c>
      <c r="G1182" s="81" t="s">
        <v>138</v>
      </c>
      <c r="H1182" s="81"/>
    </row>
    <row r="1183" customFormat="false" ht="15" hidden="false" customHeight="false" outlineLevel="0" collapsed="false">
      <c r="A1183" s="81" t="n">
        <v>1182</v>
      </c>
      <c r="B1183" s="81" t="s">
        <v>7</v>
      </c>
      <c r="C1183" s="81" t="s">
        <v>5109</v>
      </c>
      <c r="D1183" s="81" t="s">
        <v>5110</v>
      </c>
      <c r="E1183" s="82" t="s">
        <v>5111</v>
      </c>
      <c r="F1183" s="81" t="s">
        <v>5112</v>
      </c>
      <c r="G1183" s="81" t="s">
        <v>138</v>
      </c>
      <c r="H1183" s="81"/>
    </row>
    <row r="1184" customFormat="false" ht="15" hidden="false" customHeight="false" outlineLevel="0" collapsed="false">
      <c r="A1184" s="81" t="n">
        <v>1183</v>
      </c>
      <c r="B1184" s="81" t="s">
        <v>7</v>
      </c>
      <c r="C1184" s="81" t="s">
        <v>5113</v>
      </c>
      <c r="D1184" s="81" t="s">
        <v>5114</v>
      </c>
      <c r="E1184" s="82" t="s">
        <v>5115</v>
      </c>
      <c r="F1184" s="81" t="s">
        <v>1926</v>
      </c>
      <c r="G1184" s="81" t="s">
        <v>138</v>
      </c>
      <c r="H1184" s="81" t="s">
        <v>5116</v>
      </c>
    </row>
    <row r="1185" customFormat="false" ht="15" hidden="false" customHeight="false" outlineLevel="0" collapsed="false">
      <c r="A1185" s="83" t="n">
        <v>1184</v>
      </c>
      <c r="B1185" s="83" t="s">
        <v>9</v>
      </c>
      <c r="C1185" s="83" t="s">
        <v>5117</v>
      </c>
      <c r="D1185" s="83" t="s">
        <v>5118</v>
      </c>
      <c r="E1185" s="84" t="s">
        <v>5119</v>
      </c>
      <c r="F1185" s="83" t="s">
        <v>5120</v>
      </c>
      <c r="G1185" s="83" t="s">
        <v>144</v>
      </c>
      <c r="H1185" s="83" t="s">
        <v>5121</v>
      </c>
    </row>
    <row r="1186" customFormat="false" ht="15" hidden="false" customHeight="false" outlineLevel="0" collapsed="false">
      <c r="A1186" s="83" t="n">
        <v>1185</v>
      </c>
      <c r="B1186" s="83" t="s">
        <v>9</v>
      </c>
      <c r="C1186" s="83" t="s">
        <v>5122</v>
      </c>
      <c r="D1186" s="83" t="s">
        <v>5123</v>
      </c>
      <c r="E1186" s="84" t="s">
        <v>5124</v>
      </c>
      <c r="F1186" s="83" t="s">
        <v>5125</v>
      </c>
      <c r="G1186" s="83" t="s">
        <v>144</v>
      </c>
      <c r="H1186" s="83" t="s">
        <v>5126</v>
      </c>
    </row>
    <row r="1187" customFormat="false" ht="15" hidden="false" customHeight="false" outlineLevel="0" collapsed="false">
      <c r="A1187" s="83" t="n">
        <v>1186</v>
      </c>
      <c r="B1187" s="83" t="s">
        <v>9</v>
      </c>
      <c r="C1187" s="83" t="s">
        <v>5127</v>
      </c>
      <c r="D1187" s="83" t="s">
        <v>5128</v>
      </c>
      <c r="E1187" s="84" t="s">
        <v>5129</v>
      </c>
      <c r="F1187" s="83" t="s">
        <v>5130</v>
      </c>
      <c r="G1187" s="83" t="s">
        <v>144</v>
      </c>
      <c r="H1187" s="83" t="s">
        <v>5131</v>
      </c>
    </row>
    <row r="1188" customFormat="false" ht="15" hidden="false" customHeight="false" outlineLevel="0" collapsed="false">
      <c r="A1188" s="83" t="n">
        <v>1187</v>
      </c>
      <c r="B1188" s="83" t="s">
        <v>9</v>
      </c>
      <c r="C1188" s="83" t="s">
        <v>5132</v>
      </c>
      <c r="D1188" s="83" t="s">
        <v>5133</v>
      </c>
      <c r="E1188" s="84" t="s">
        <v>5134</v>
      </c>
      <c r="F1188" s="83" t="s">
        <v>5135</v>
      </c>
      <c r="G1188" s="83" t="s">
        <v>144</v>
      </c>
      <c r="H1188" s="83" t="s">
        <v>5136</v>
      </c>
    </row>
    <row r="1189" customFormat="false" ht="15" hidden="false" customHeight="false" outlineLevel="0" collapsed="false">
      <c r="A1189" s="83" t="n">
        <v>1188</v>
      </c>
      <c r="B1189" s="83" t="s">
        <v>9</v>
      </c>
      <c r="C1189" s="83" t="s">
        <v>5137</v>
      </c>
      <c r="D1189" s="83" t="s">
        <v>5138</v>
      </c>
      <c r="E1189" s="84" t="s">
        <v>5139</v>
      </c>
      <c r="F1189" s="83" t="s">
        <v>5140</v>
      </c>
      <c r="G1189" s="83" t="s">
        <v>144</v>
      </c>
      <c r="H1189" s="83" t="s">
        <v>5141</v>
      </c>
    </row>
    <row r="1190" customFormat="false" ht="15" hidden="false" customHeight="false" outlineLevel="0" collapsed="false">
      <c r="A1190" s="83" t="n">
        <v>1189</v>
      </c>
      <c r="B1190" s="83" t="s">
        <v>9</v>
      </c>
      <c r="C1190" s="83" t="s">
        <v>5142</v>
      </c>
      <c r="D1190" s="83" t="s">
        <v>5143</v>
      </c>
      <c r="E1190" s="84" t="s">
        <v>5144</v>
      </c>
      <c r="F1190" s="83" t="s">
        <v>5145</v>
      </c>
      <c r="G1190" s="83" t="s">
        <v>144</v>
      </c>
      <c r="H1190" s="83" t="s">
        <v>5146</v>
      </c>
    </row>
    <row r="1191" customFormat="false" ht="15" hidden="false" customHeight="false" outlineLevel="0" collapsed="false">
      <c r="A1191" s="83" t="n">
        <v>1190</v>
      </c>
      <c r="B1191" s="83" t="s">
        <v>9</v>
      </c>
      <c r="C1191" s="83" t="s">
        <v>5147</v>
      </c>
      <c r="D1191" s="83" t="s">
        <v>5148</v>
      </c>
      <c r="E1191" s="84" t="s">
        <v>5149</v>
      </c>
      <c r="F1191" s="83" t="s">
        <v>5150</v>
      </c>
      <c r="G1191" s="83" t="s">
        <v>144</v>
      </c>
      <c r="H1191" s="83" t="s">
        <v>5151</v>
      </c>
    </row>
    <row r="1192" customFormat="false" ht="15" hidden="false" customHeight="false" outlineLevel="0" collapsed="false">
      <c r="A1192" s="83" t="n">
        <v>1191</v>
      </c>
      <c r="B1192" s="83" t="s">
        <v>9</v>
      </c>
      <c r="C1192" s="83" t="s">
        <v>5152</v>
      </c>
      <c r="D1192" s="83" t="s">
        <v>5153</v>
      </c>
      <c r="E1192" s="84" t="s">
        <v>5154</v>
      </c>
      <c r="F1192" s="83" t="s">
        <v>5155</v>
      </c>
      <c r="G1192" s="83" t="s">
        <v>144</v>
      </c>
      <c r="H1192" s="83" t="s">
        <v>5156</v>
      </c>
    </row>
    <row r="1193" customFormat="false" ht="15" hidden="false" customHeight="false" outlineLevel="0" collapsed="false">
      <c r="A1193" s="83" t="n">
        <v>1192</v>
      </c>
      <c r="B1193" s="83" t="s">
        <v>9</v>
      </c>
      <c r="C1193" s="83" t="s">
        <v>5157</v>
      </c>
      <c r="D1193" s="83" t="s">
        <v>5158</v>
      </c>
      <c r="E1193" s="84" t="s">
        <v>5159</v>
      </c>
      <c r="F1193" s="83" t="s">
        <v>5160</v>
      </c>
      <c r="G1193" s="83" t="s">
        <v>144</v>
      </c>
      <c r="H1193" s="83" t="s">
        <v>5161</v>
      </c>
    </row>
    <row r="1194" customFormat="false" ht="15" hidden="false" customHeight="false" outlineLevel="0" collapsed="false">
      <c r="A1194" s="83" t="n">
        <v>1193</v>
      </c>
      <c r="B1194" s="83" t="s">
        <v>9</v>
      </c>
      <c r="C1194" s="83" t="s">
        <v>5162</v>
      </c>
      <c r="D1194" s="83" t="s">
        <v>5163</v>
      </c>
      <c r="E1194" s="84" t="s">
        <v>5164</v>
      </c>
      <c r="F1194" s="83" t="s">
        <v>5165</v>
      </c>
      <c r="G1194" s="83" t="s">
        <v>144</v>
      </c>
      <c r="H1194" s="83" t="s">
        <v>5166</v>
      </c>
    </row>
    <row r="1195" customFormat="false" ht="15" hidden="false" customHeight="false" outlineLevel="0" collapsed="false">
      <c r="A1195" s="83" t="n">
        <v>1194</v>
      </c>
      <c r="B1195" s="83" t="s">
        <v>9</v>
      </c>
      <c r="C1195" s="83" t="s">
        <v>5167</v>
      </c>
      <c r="D1195" s="83" t="s">
        <v>5168</v>
      </c>
      <c r="E1195" s="84" t="s">
        <v>5169</v>
      </c>
      <c r="F1195" s="83" t="s">
        <v>5170</v>
      </c>
      <c r="G1195" s="83" t="s">
        <v>144</v>
      </c>
      <c r="H1195" s="83" t="s">
        <v>5171</v>
      </c>
    </row>
    <row r="1196" customFormat="false" ht="15" hidden="false" customHeight="false" outlineLevel="0" collapsed="false">
      <c r="A1196" s="83" t="n">
        <v>1195</v>
      </c>
      <c r="B1196" s="83" t="s">
        <v>9</v>
      </c>
      <c r="C1196" s="83" t="s">
        <v>5172</v>
      </c>
      <c r="D1196" s="83" t="s">
        <v>5173</v>
      </c>
      <c r="E1196" s="84" t="s">
        <v>5174</v>
      </c>
      <c r="F1196" s="83" t="s">
        <v>5175</v>
      </c>
      <c r="G1196" s="83" t="s">
        <v>144</v>
      </c>
      <c r="H1196" s="83" t="s">
        <v>5176</v>
      </c>
    </row>
    <row r="1197" customFormat="false" ht="15" hidden="false" customHeight="false" outlineLevel="0" collapsed="false">
      <c r="A1197" s="83" t="n">
        <v>1196</v>
      </c>
      <c r="B1197" s="83" t="s">
        <v>9</v>
      </c>
      <c r="C1197" s="83" t="s">
        <v>5177</v>
      </c>
      <c r="D1197" s="83" t="s">
        <v>5178</v>
      </c>
      <c r="E1197" s="84" t="s">
        <v>5179</v>
      </c>
      <c r="F1197" s="83" t="s">
        <v>5180</v>
      </c>
      <c r="G1197" s="83" t="s">
        <v>144</v>
      </c>
      <c r="H1197" s="83" t="s">
        <v>5181</v>
      </c>
    </row>
    <row r="1198" customFormat="false" ht="15" hidden="false" customHeight="false" outlineLevel="0" collapsed="false">
      <c r="A1198" s="83" t="n">
        <v>1197</v>
      </c>
      <c r="B1198" s="83" t="s">
        <v>9</v>
      </c>
      <c r="C1198" s="83" t="s">
        <v>5182</v>
      </c>
      <c r="D1198" s="83" t="s">
        <v>5183</v>
      </c>
      <c r="E1198" s="84" t="s">
        <v>5184</v>
      </c>
      <c r="F1198" s="83" t="s">
        <v>5185</v>
      </c>
      <c r="G1198" s="83" t="s">
        <v>144</v>
      </c>
      <c r="H1198" s="83" t="s">
        <v>5186</v>
      </c>
    </row>
    <row r="1199" customFormat="false" ht="15" hidden="false" customHeight="false" outlineLevel="0" collapsed="false">
      <c r="A1199" s="83" t="n">
        <v>1198</v>
      </c>
      <c r="B1199" s="83" t="s">
        <v>9</v>
      </c>
      <c r="C1199" s="83" t="s">
        <v>5187</v>
      </c>
      <c r="D1199" s="83" t="s">
        <v>5188</v>
      </c>
      <c r="E1199" s="84" t="s">
        <v>5189</v>
      </c>
      <c r="F1199" s="83" t="s">
        <v>5190</v>
      </c>
      <c r="G1199" s="83" t="s">
        <v>144</v>
      </c>
      <c r="H1199" s="83" t="s">
        <v>5191</v>
      </c>
    </row>
    <row r="1200" customFormat="false" ht="15" hidden="false" customHeight="false" outlineLevel="0" collapsed="false">
      <c r="A1200" s="83" t="n">
        <v>1199</v>
      </c>
      <c r="B1200" s="83" t="s">
        <v>9</v>
      </c>
      <c r="C1200" s="83" t="s">
        <v>5192</v>
      </c>
      <c r="D1200" s="83" t="s">
        <v>5193</v>
      </c>
      <c r="E1200" s="84" t="s">
        <v>5194</v>
      </c>
      <c r="F1200" s="83" t="s">
        <v>5195</v>
      </c>
      <c r="G1200" s="83" t="s">
        <v>144</v>
      </c>
      <c r="H1200" s="83" t="s">
        <v>5196</v>
      </c>
    </row>
    <row r="1201" customFormat="false" ht="15" hidden="false" customHeight="false" outlineLevel="0" collapsed="false">
      <c r="A1201" s="83" t="n">
        <v>1200</v>
      </c>
      <c r="B1201" s="83" t="s">
        <v>9</v>
      </c>
      <c r="C1201" s="83" t="s">
        <v>5197</v>
      </c>
      <c r="D1201" s="83" t="s">
        <v>5198</v>
      </c>
      <c r="E1201" s="84" t="s">
        <v>5199</v>
      </c>
      <c r="F1201" s="83" t="s">
        <v>5200</v>
      </c>
      <c r="G1201" s="83" t="s">
        <v>146</v>
      </c>
      <c r="H1201" s="83" t="s">
        <v>5201</v>
      </c>
    </row>
    <row r="1202" customFormat="false" ht="15" hidden="false" customHeight="false" outlineLevel="0" collapsed="false">
      <c r="A1202" s="83" t="n">
        <v>1201</v>
      </c>
      <c r="B1202" s="83" t="s">
        <v>9</v>
      </c>
      <c r="C1202" s="83" t="s">
        <v>5202</v>
      </c>
      <c r="D1202" s="83" t="s">
        <v>5203</v>
      </c>
      <c r="E1202" s="84" t="s">
        <v>5204</v>
      </c>
      <c r="F1202" s="83" t="s">
        <v>5205</v>
      </c>
      <c r="G1202" s="83" t="s">
        <v>146</v>
      </c>
      <c r="H1202" s="83" t="s">
        <v>5206</v>
      </c>
    </row>
    <row r="1203" customFormat="false" ht="15" hidden="false" customHeight="false" outlineLevel="0" collapsed="false">
      <c r="A1203" s="83" t="n">
        <v>1202</v>
      </c>
      <c r="B1203" s="83" t="s">
        <v>9</v>
      </c>
      <c r="C1203" s="83" t="s">
        <v>5207</v>
      </c>
      <c r="D1203" s="83" t="s">
        <v>5208</v>
      </c>
      <c r="E1203" s="84" t="s">
        <v>5209</v>
      </c>
      <c r="F1203" s="83" t="s">
        <v>5210</v>
      </c>
      <c r="G1203" s="83" t="s">
        <v>146</v>
      </c>
      <c r="H1203" s="83"/>
    </row>
    <row r="1204" customFormat="false" ht="15" hidden="false" customHeight="false" outlineLevel="0" collapsed="false">
      <c r="A1204" s="83" t="n">
        <v>1203</v>
      </c>
      <c r="B1204" s="83" t="s">
        <v>9</v>
      </c>
      <c r="C1204" s="83" t="s">
        <v>5211</v>
      </c>
      <c r="D1204" s="83" t="s">
        <v>5212</v>
      </c>
      <c r="E1204" s="84" t="s">
        <v>5213</v>
      </c>
      <c r="F1204" s="83" t="s">
        <v>5214</v>
      </c>
      <c r="G1204" s="83" t="s">
        <v>146</v>
      </c>
      <c r="H1204" s="83"/>
    </row>
    <row r="1205" customFormat="false" ht="15" hidden="false" customHeight="false" outlineLevel="0" collapsed="false">
      <c r="A1205" s="83" t="n">
        <v>1204</v>
      </c>
      <c r="B1205" s="83" t="s">
        <v>9</v>
      </c>
      <c r="C1205" s="83" t="s">
        <v>5215</v>
      </c>
      <c r="D1205" s="83" t="s">
        <v>5216</v>
      </c>
      <c r="E1205" s="84" t="s">
        <v>5217</v>
      </c>
      <c r="F1205" s="83" t="s">
        <v>5218</v>
      </c>
      <c r="G1205" s="83" t="s">
        <v>146</v>
      </c>
      <c r="H1205" s="83"/>
    </row>
    <row r="1206" customFormat="false" ht="15" hidden="false" customHeight="false" outlineLevel="0" collapsed="false">
      <c r="A1206" s="83" t="n">
        <v>1205</v>
      </c>
      <c r="B1206" s="83" t="s">
        <v>9</v>
      </c>
      <c r="C1206" s="83" t="s">
        <v>5219</v>
      </c>
      <c r="D1206" s="83" t="s">
        <v>5220</v>
      </c>
      <c r="E1206" s="84" t="s">
        <v>5221</v>
      </c>
      <c r="F1206" s="83" t="s">
        <v>5222</v>
      </c>
      <c r="G1206" s="83" t="s">
        <v>146</v>
      </c>
      <c r="H1206" s="83"/>
    </row>
    <row r="1207" customFormat="false" ht="15" hidden="false" customHeight="false" outlineLevel="0" collapsed="false">
      <c r="A1207" s="83" t="n">
        <v>1206</v>
      </c>
      <c r="B1207" s="83" t="s">
        <v>9</v>
      </c>
      <c r="C1207" s="83" t="s">
        <v>5223</v>
      </c>
      <c r="D1207" s="83" t="s">
        <v>5224</v>
      </c>
      <c r="E1207" s="84" t="s">
        <v>5225</v>
      </c>
      <c r="F1207" s="83" t="s">
        <v>5226</v>
      </c>
      <c r="G1207" s="83" t="s">
        <v>146</v>
      </c>
      <c r="H1207" s="83" t="s">
        <v>5227</v>
      </c>
    </row>
    <row r="1208" customFormat="false" ht="15" hidden="false" customHeight="false" outlineLevel="0" collapsed="false">
      <c r="A1208" s="83" t="n">
        <v>1207</v>
      </c>
      <c r="B1208" s="83" t="s">
        <v>9</v>
      </c>
      <c r="C1208" s="83" t="s">
        <v>5228</v>
      </c>
      <c r="D1208" s="83" t="s">
        <v>5229</v>
      </c>
      <c r="E1208" s="84" t="s">
        <v>5230</v>
      </c>
      <c r="F1208" s="83" t="s">
        <v>5231</v>
      </c>
      <c r="G1208" s="83" t="s">
        <v>146</v>
      </c>
      <c r="H1208" s="83"/>
    </row>
    <row r="1209" customFormat="false" ht="15" hidden="false" customHeight="false" outlineLevel="0" collapsed="false">
      <c r="A1209" s="83" t="n">
        <v>1208</v>
      </c>
      <c r="B1209" s="83" t="s">
        <v>9</v>
      </c>
      <c r="C1209" s="83" t="s">
        <v>5232</v>
      </c>
      <c r="D1209" s="83" t="s">
        <v>5233</v>
      </c>
      <c r="E1209" s="84" t="s">
        <v>5234</v>
      </c>
      <c r="F1209" s="83" t="s">
        <v>5235</v>
      </c>
      <c r="G1209" s="83" t="s">
        <v>146</v>
      </c>
      <c r="H1209" s="83"/>
    </row>
    <row r="1210" customFormat="false" ht="15" hidden="false" customHeight="false" outlineLevel="0" collapsed="false">
      <c r="A1210" s="83" t="n">
        <v>1209</v>
      </c>
      <c r="B1210" s="83" t="s">
        <v>9</v>
      </c>
      <c r="C1210" s="83" t="s">
        <v>5236</v>
      </c>
      <c r="D1210" s="83" t="s">
        <v>5237</v>
      </c>
      <c r="E1210" s="84" t="s">
        <v>5238</v>
      </c>
      <c r="F1210" s="83" t="s">
        <v>5239</v>
      </c>
      <c r="G1210" s="83" t="s">
        <v>146</v>
      </c>
      <c r="H1210" s="83"/>
    </row>
    <row r="1211" customFormat="false" ht="15" hidden="false" customHeight="false" outlineLevel="0" collapsed="false">
      <c r="A1211" s="83" t="n">
        <v>1210</v>
      </c>
      <c r="B1211" s="83" t="s">
        <v>9</v>
      </c>
      <c r="C1211" s="83" t="s">
        <v>5240</v>
      </c>
      <c r="D1211" s="83" t="s">
        <v>5241</v>
      </c>
      <c r="E1211" s="84" t="s">
        <v>5242</v>
      </c>
      <c r="F1211" s="83" t="s">
        <v>5243</v>
      </c>
      <c r="G1211" s="83" t="s">
        <v>146</v>
      </c>
      <c r="H1211" s="83"/>
    </row>
    <row r="1212" customFormat="false" ht="15" hidden="false" customHeight="false" outlineLevel="0" collapsed="false">
      <c r="A1212" s="83" t="n">
        <v>1211</v>
      </c>
      <c r="B1212" s="83" t="s">
        <v>9</v>
      </c>
      <c r="C1212" s="83" t="s">
        <v>5244</v>
      </c>
      <c r="D1212" s="83" t="s">
        <v>5245</v>
      </c>
      <c r="E1212" s="84" t="s">
        <v>5246</v>
      </c>
      <c r="F1212" s="83" t="s">
        <v>5247</v>
      </c>
      <c r="G1212" s="83" t="s">
        <v>146</v>
      </c>
      <c r="H1212" s="83"/>
    </row>
    <row r="1213" customFormat="false" ht="15" hidden="false" customHeight="false" outlineLevel="0" collapsed="false">
      <c r="A1213" s="83" t="n">
        <v>1212</v>
      </c>
      <c r="B1213" s="83" t="s">
        <v>9</v>
      </c>
      <c r="C1213" s="83" t="s">
        <v>5248</v>
      </c>
      <c r="D1213" s="83" t="s">
        <v>5249</v>
      </c>
      <c r="E1213" s="84" t="s">
        <v>4534</v>
      </c>
      <c r="F1213" s="83" t="s">
        <v>4535</v>
      </c>
      <c r="G1213" s="83" t="s">
        <v>146</v>
      </c>
      <c r="H1213" s="83" t="s">
        <v>845</v>
      </c>
    </row>
    <row r="1214" customFormat="false" ht="15" hidden="false" customHeight="false" outlineLevel="0" collapsed="false">
      <c r="A1214" s="83" t="n">
        <v>1213</v>
      </c>
      <c r="B1214" s="83" t="s">
        <v>9</v>
      </c>
      <c r="C1214" s="83" t="s">
        <v>5250</v>
      </c>
      <c r="D1214" s="83" t="s">
        <v>5251</v>
      </c>
      <c r="E1214" s="84" t="s">
        <v>5252</v>
      </c>
      <c r="F1214" s="83" t="s">
        <v>5253</v>
      </c>
      <c r="G1214" s="83" t="s">
        <v>146</v>
      </c>
      <c r="H1214" s="83" t="s">
        <v>5254</v>
      </c>
    </row>
    <row r="1215" customFormat="false" ht="15" hidden="false" customHeight="false" outlineLevel="0" collapsed="false">
      <c r="A1215" s="83" t="n">
        <v>1214</v>
      </c>
      <c r="B1215" s="83" t="s">
        <v>9</v>
      </c>
      <c r="C1215" s="83" t="s">
        <v>5255</v>
      </c>
      <c r="D1215" s="83" t="s">
        <v>5256</v>
      </c>
      <c r="E1215" s="84" t="s">
        <v>5257</v>
      </c>
      <c r="F1215" s="83" t="s">
        <v>5258</v>
      </c>
      <c r="G1215" s="83" t="s">
        <v>146</v>
      </c>
      <c r="H1215" s="83"/>
    </row>
    <row r="1216" customFormat="false" ht="15" hidden="false" customHeight="false" outlineLevel="0" collapsed="false">
      <c r="A1216" s="83" t="n">
        <v>1215</v>
      </c>
      <c r="B1216" s="83" t="s">
        <v>9</v>
      </c>
      <c r="C1216" s="83" t="s">
        <v>5259</v>
      </c>
      <c r="D1216" s="83" t="s">
        <v>5260</v>
      </c>
      <c r="E1216" s="84" t="s">
        <v>5261</v>
      </c>
      <c r="F1216" s="83" t="s">
        <v>5262</v>
      </c>
      <c r="G1216" s="83" t="s">
        <v>146</v>
      </c>
      <c r="H1216" s="83"/>
    </row>
    <row r="1217" customFormat="false" ht="15" hidden="false" customHeight="false" outlineLevel="0" collapsed="false">
      <c r="A1217" s="83" t="n">
        <v>1216</v>
      </c>
      <c r="B1217" s="83" t="s">
        <v>9</v>
      </c>
      <c r="C1217" s="83" t="s">
        <v>5263</v>
      </c>
      <c r="D1217" s="83" t="s">
        <v>5264</v>
      </c>
      <c r="E1217" s="84" t="s">
        <v>5265</v>
      </c>
      <c r="F1217" s="83" t="s">
        <v>5266</v>
      </c>
      <c r="G1217" s="83" t="s">
        <v>146</v>
      </c>
      <c r="H1217" s="83"/>
    </row>
    <row r="1218" customFormat="false" ht="15" hidden="false" customHeight="false" outlineLevel="0" collapsed="false">
      <c r="A1218" s="83" t="n">
        <v>1217</v>
      </c>
      <c r="B1218" s="83" t="s">
        <v>9</v>
      </c>
      <c r="C1218" s="83" t="s">
        <v>5267</v>
      </c>
      <c r="D1218" s="83" t="s">
        <v>5268</v>
      </c>
      <c r="E1218" s="84" t="s">
        <v>5269</v>
      </c>
      <c r="F1218" s="83" t="s">
        <v>5270</v>
      </c>
      <c r="G1218" s="83" t="s">
        <v>148</v>
      </c>
      <c r="H1218" s="83" t="s">
        <v>5271</v>
      </c>
    </row>
    <row r="1219" customFormat="false" ht="15" hidden="false" customHeight="false" outlineLevel="0" collapsed="false">
      <c r="A1219" s="83" t="n">
        <v>1218</v>
      </c>
      <c r="B1219" s="83" t="s">
        <v>9</v>
      </c>
      <c r="C1219" s="83" t="s">
        <v>5272</v>
      </c>
      <c r="D1219" s="83" t="s">
        <v>5273</v>
      </c>
      <c r="E1219" s="84" t="s">
        <v>5274</v>
      </c>
      <c r="F1219" s="83" t="s">
        <v>5275</v>
      </c>
      <c r="G1219" s="83" t="s">
        <v>148</v>
      </c>
      <c r="H1219" s="83" t="s">
        <v>5276</v>
      </c>
    </row>
    <row r="1220" customFormat="false" ht="15" hidden="false" customHeight="false" outlineLevel="0" collapsed="false">
      <c r="A1220" s="83" t="n">
        <v>1219</v>
      </c>
      <c r="B1220" s="83" t="s">
        <v>9</v>
      </c>
      <c r="C1220" s="83" t="s">
        <v>5277</v>
      </c>
      <c r="D1220" s="83" t="s">
        <v>5278</v>
      </c>
      <c r="E1220" s="84" t="s">
        <v>5279</v>
      </c>
      <c r="F1220" s="83" t="s">
        <v>4318</v>
      </c>
      <c r="G1220" s="83" t="s">
        <v>148</v>
      </c>
      <c r="H1220" s="83"/>
    </row>
    <row r="1221" customFormat="false" ht="15" hidden="false" customHeight="false" outlineLevel="0" collapsed="false">
      <c r="A1221" s="83" t="n">
        <v>1220</v>
      </c>
      <c r="B1221" s="83" t="s">
        <v>9</v>
      </c>
      <c r="C1221" s="83" t="s">
        <v>5280</v>
      </c>
      <c r="D1221" s="83" t="s">
        <v>5281</v>
      </c>
      <c r="E1221" s="84" t="s">
        <v>5282</v>
      </c>
      <c r="F1221" s="83" t="s">
        <v>5283</v>
      </c>
      <c r="G1221" s="83" t="s">
        <v>148</v>
      </c>
      <c r="H1221" s="83" t="s">
        <v>5284</v>
      </c>
    </row>
    <row r="1222" customFormat="false" ht="15" hidden="false" customHeight="false" outlineLevel="0" collapsed="false">
      <c r="A1222" s="83" t="n">
        <v>1221</v>
      </c>
      <c r="B1222" s="83" t="s">
        <v>9</v>
      </c>
      <c r="C1222" s="83" t="s">
        <v>5285</v>
      </c>
      <c r="D1222" s="83" t="s">
        <v>5286</v>
      </c>
      <c r="E1222" s="84" t="s">
        <v>5287</v>
      </c>
      <c r="F1222" s="83" t="s">
        <v>5288</v>
      </c>
      <c r="G1222" s="83" t="s">
        <v>148</v>
      </c>
      <c r="H1222" s="83" t="s">
        <v>5289</v>
      </c>
    </row>
    <row r="1223" customFormat="false" ht="15" hidden="false" customHeight="false" outlineLevel="0" collapsed="false">
      <c r="A1223" s="83" t="n">
        <v>1222</v>
      </c>
      <c r="B1223" s="83" t="s">
        <v>9</v>
      </c>
      <c r="C1223" s="83" t="s">
        <v>5290</v>
      </c>
      <c r="D1223" s="83" t="s">
        <v>5291</v>
      </c>
      <c r="E1223" s="84" t="s">
        <v>5292</v>
      </c>
      <c r="F1223" s="83" t="s">
        <v>5293</v>
      </c>
      <c r="G1223" s="83" t="s">
        <v>148</v>
      </c>
      <c r="H1223" s="83" t="s">
        <v>5294</v>
      </c>
    </row>
    <row r="1224" customFormat="false" ht="15" hidden="false" customHeight="false" outlineLevel="0" collapsed="false">
      <c r="A1224" s="83" t="n">
        <v>1223</v>
      </c>
      <c r="B1224" s="83" t="s">
        <v>9</v>
      </c>
      <c r="C1224" s="83" t="s">
        <v>5295</v>
      </c>
      <c r="D1224" s="83" t="s">
        <v>5296</v>
      </c>
      <c r="E1224" s="84" t="s">
        <v>5297</v>
      </c>
      <c r="F1224" s="83" t="s">
        <v>5298</v>
      </c>
      <c r="G1224" s="83" t="s">
        <v>148</v>
      </c>
      <c r="H1224" s="83" t="s">
        <v>5299</v>
      </c>
    </row>
    <row r="1225" customFormat="false" ht="15" hidden="false" customHeight="false" outlineLevel="0" collapsed="false">
      <c r="A1225" s="83" t="n">
        <v>1224</v>
      </c>
      <c r="B1225" s="83" t="s">
        <v>9</v>
      </c>
      <c r="C1225" s="83" t="s">
        <v>5300</v>
      </c>
      <c r="D1225" s="83" t="s">
        <v>5301</v>
      </c>
      <c r="E1225" s="84" t="s">
        <v>5302</v>
      </c>
      <c r="F1225" s="83" t="s">
        <v>5303</v>
      </c>
      <c r="G1225" s="83" t="s">
        <v>148</v>
      </c>
      <c r="H1225" s="83" t="s">
        <v>5304</v>
      </c>
    </row>
    <row r="1226" customFormat="false" ht="15" hidden="false" customHeight="false" outlineLevel="0" collapsed="false">
      <c r="A1226" s="83" t="n">
        <v>1225</v>
      </c>
      <c r="B1226" s="83" t="s">
        <v>9</v>
      </c>
      <c r="C1226" s="83" t="s">
        <v>5305</v>
      </c>
      <c r="D1226" s="83" t="s">
        <v>5306</v>
      </c>
      <c r="E1226" s="84" t="s">
        <v>5307</v>
      </c>
      <c r="F1226" s="83" t="s">
        <v>5308</v>
      </c>
      <c r="G1226" s="83" t="s">
        <v>148</v>
      </c>
      <c r="H1226" s="83"/>
    </row>
    <row r="1227" customFormat="false" ht="15" hidden="false" customHeight="false" outlineLevel="0" collapsed="false">
      <c r="A1227" s="83" t="n">
        <v>1226</v>
      </c>
      <c r="B1227" s="83" t="s">
        <v>9</v>
      </c>
      <c r="C1227" s="83" t="s">
        <v>5309</v>
      </c>
      <c r="D1227" s="83" t="s">
        <v>5310</v>
      </c>
      <c r="E1227" s="84" t="s">
        <v>5311</v>
      </c>
      <c r="F1227" s="83" t="s">
        <v>5312</v>
      </c>
      <c r="G1227" s="83" t="s">
        <v>148</v>
      </c>
      <c r="H1227" s="83" t="s">
        <v>5313</v>
      </c>
    </row>
    <row r="1228" customFormat="false" ht="15" hidden="false" customHeight="false" outlineLevel="0" collapsed="false">
      <c r="A1228" s="83" t="n">
        <v>1227</v>
      </c>
      <c r="B1228" s="83" t="s">
        <v>9</v>
      </c>
      <c r="C1228" s="83" t="s">
        <v>5314</v>
      </c>
      <c r="D1228" s="83" t="s">
        <v>5315</v>
      </c>
      <c r="E1228" s="84" t="s">
        <v>5316</v>
      </c>
      <c r="F1228" s="83" t="s">
        <v>5317</v>
      </c>
      <c r="G1228" s="83" t="s">
        <v>148</v>
      </c>
      <c r="H1228" s="83" t="s">
        <v>5318</v>
      </c>
    </row>
    <row r="1229" customFormat="false" ht="15" hidden="false" customHeight="false" outlineLevel="0" collapsed="false">
      <c r="A1229" s="83" t="n">
        <v>1228</v>
      </c>
      <c r="B1229" s="83" t="s">
        <v>9</v>
      </c>
      <c r="C1229" s="83" t="s">
        <v>5319</v>
      </c>
      <c r="D1229" s="83" t="s">
        <v>5320</v>
      </c>
      <c r="E1229" s="84" t="s">
        <v>5321</v>
      </c>
      <c r="F1229" s="83" t="s">
        <v>5322</v>
      </c>
      <c r="G1229" s="83" t="s">
        <v>148</v>
      </c>
      <c r="H1229" s="83"/>
    </row>
    <row r="1230" customFormat="false" ht="15" hidden="false" customHeight="false" outlineLevel="0" collapsed="false">
      <c r="A1230" s="83" t="n">
        <v>1229</v>
      </c>
      <c r="B1230" s="83" t="s">
        <v>9</v>
      </c>
      <c r="C1230" s="83" t="s">
        <v>5323</v>
      </c>
      <c r="D1230" s="83" t="s">
        <v>5324</v>
      </c>
      <c r="E1230" s="84" t="s">
        <v>5325</v>
      </c>
      <c r="F1230" s="83" t="s">
        <v>5326</v>
      </c>
      <c r="G1230" s="83" t="s">
        <v>148</v>
      </c>
      <c r="H1230" s="83"/>
    </row>
    <row r="1231" customFormat="false" ht="15" hidden="false" customHeight="false" outlineLevel="0" collapsed="false">
      <c r="A1231" s="83" t="n">
        <v>1230</v>
      </c>
      <c r="B1231" s="83" t="s">
        <v>9</v>
      </c>
      <c r="C1231" s="83" t="s">
        <v>5327</v>
      </c>
      <c r="D1231" s="83" t="s">
        <v>5328</v>
      </c>
      <c r="E1231" s="84" t="s">
        <v>5329</v>
      </c>
      <c r="F1231" s="83" t="s">
        <v>5330</v>
      </c>
      <c r="G1231" s="83" t="s">
        <v>148</v>
      </c>
      <c r="H1231" s="83"/>
    </row>
    <row r="1232" customFormat="false" ht="15" hidden="false" customHeight="false" outlineLevel="0" collapsed="false">
      <c r="A1232" s="83" t="n">
        <v>1231</v>
      </c>
      <c r="B1232" s="83" t="s">
        <v>9</v>
      </c>
      <c r="C1232" s="83" t="s">
        <v>5331</v>
      </c>
      <c r="D1232" s="83" t="s">
        <v>5332</v>
      </c>
      <c r="E1232" s="84" t="s">
        <v>5333</v>
      </c>
      <c r="F1232" s="83" t="s">
        <v>5334</v>
      </c>
      <c r="G1232" s="83" t="s">
        <v>148</v>
      </c>
      <c r="H1232" s="83"/>
    </row>
    <row r="1233" customFormat="false" ht="15" hidden="false" customHeight="false" outlineLevel="0" collapsed="false">
      <c r="A1233" s="83" t="n">
        <v>1232</v>
      </c>
      <c r="B1233" s="83" t="s">
        <v>9</v>
      </c>
      <c r="C1233" s="83" t="s">
        <v>5335</v>
      </c>
      <c r="D1233" s="83" t="s">
        <v>5336</v>
      </c>
      <c r="E1233" s="84" t="s">
        <v>5337</v>
      </c>
      <c r="F1233" s="83" t="s">
        <v>5338</v>
      </c>
      <c r="G1233" s="83" t="s">
        <v>148</v>
      </c>
      <c r="H1233" s="83" t="s">
        <v>5339</v>
      </c>
    </row>
    <row r="1234" customFormat="false" ht="15" hidden="false" customHeight="false" outlineLevel="0" collapsed="false">
      <c r="A1234" s="83" t="n">
        <v>1233</v>
      </c>
      <c r="B1234" s="83" t="s">
        <v>9</v>
      </c>
      <c r="C1234" s="83" t="s">
        <v>5340</v>
      </c>
      <c r="D1234" s="83" t="s">
        <v>5341</v>
      </c>
      <c r="E1234" s="84" t="s">
        <v>5342</v>
      </c>
      <c r="F1234" s="83" t="s">
        <v>5343</v>
      </c>
      <c r="G1234" s="83" t="s">
        <v>148</v>
      </c>
      <c r="H1234" s="83" t="s">
        <v>5344</v>
      </c>
    </row>
    <row r="1235" customFormat="false" ht="15" hidden="false" customHeight="false" outlineLevel="0" collapsed="false">
      <c r="A1235" s="83" t="n">
        <v>1234</v>
      </c>
      <c r="B1235" s="83" t="s">
        <v>9</v>
      </c>
      <c r="C1235" s="83" t="s">
        <v>5345</v>
      </c>
      <c r="D1235" s="83" t="s">
        <v>5346</v>
      </c>
      <c r="E1235" s="84" t="s">
        <v>5347</v>
      </c>
      <c r="F1235" s="83" t="s">
        <v>5348</v>
      </c>
      <c r="G1235" s="83" t="s">
        <v>148</v>
      </c>
      <c r="H1235" s="83"/>
    </row>
    <row r="1236" customFormat="false" ht="15" hidden="false" customHeight="false" outlineLevel="0" collapsed="false">
      <c r="A1236" s="83" t="n">
        <v>1235</v>
      </c>
      <c r="B1236" s="83" t="s">
        <v>9</v>
      </c>
      <c r="C1236" s="83" t="s">
        <v>5349</v>
      </c>
      <c r="D1236" s="83" t="s">
        <v>5350</v>
      </c>
      <c r="E1236" s="84" t="s">
        <v>5351</v>
      </c>
      <c r="F1236" s="83" t="s">
        <v>5352</v>
      </c>
      <c r="G1236" s="83" t="s">
        <v>148</v>
      </c>
      <c r="H1236" s="83" t="s">
        <v>5353</v>
      </c>
    </row>
    <row r="1237" customFormat="false" ht="15" hidden="false" customHeight="false" outlineLevel="0" collapsed="false">
      <c r="A1237" s="83" t="n">
        <v>1236</v>
      </c>
      <c r="B1237" s="83" t="s">
        <v>9</v>
      </c>
      <c r="C1237" s="83" t="s">
        <v>5354</v>
      </c>
      <c r="D1237" s="83" t="s">
        <v>5355</v>
      </c>
      <c r="E1237" s="84" t="s">
        <v>5356</v>
      </c>
      <c r="F1237" s="83" t="s">
        <v>5357</v>
      </c>
      <c r="G1237" s="83" t="s">
        <v>148</v>
      </c>
      <c r="H1237" s="83" t="s">
        <v>5358</v>
      </c>
    </row>
    <row r="1238" customFormat="false" ht="15" hidden="false" customHeight="false" outlineLevel="0" collapsed="false">
      <c r="A1238" s="83" t="n">
        <v>1237</v>
      </c>
      <c r="B1238" s="83" t="s">
        <v>9</v>
      </c>
      <c r="C1238" s="83" t="s">
        <v>5359</v>
      </c>
      <c r="D1238" s="83" t="s">
        <v>5360</v>
      </c>
      <c r="E1238" s="84" t="s">
        <v>5361</v>
      </c>
      <c r="F1238" s="83" t="s">
        <v>5362</v>
      </c>
      <c r="G1238" s="83" t="s">
        <v>150</v>
      </c>
      <c r="H1238" s="83"/>
    </row>
    <row r="1239" customFormat="false" ht="15" hidden="false" customHeight="false" outlineLevel="0" collapsed="false">
      <c r="A1239" s="83" t="n">
        <v>1238</v>
      </c>
      <c r="B1239" s="83" t="s">
        <v>9</v>
      </c>
      <c r="C1239" s="83" t="s">
        <v>5363</v>
      </c>
      <c r="D1239" s="83" t="s">
        <v>5364</v>
      </c>
      <c r="E1239" s="84" t="s">
        <v>5365</v>
      </c>
      <c r="F1239" s="83" t="s">
        <v>5366</v>
      </c>
      <c r="G1239" s="83" t="s">
        <v>150</v>
      </c>
      <c r="H1239" s="83"/>
    </row>
    <row r="1240" customFormat="false" ht="15" hidden="false" customHeight="false" outlineLevel="0" collapsed="false">
      <c r="A1240" s="83" t="n">
        <v>1239</v>
      </c>
      <c r="B1240" s="83" t="s">
        <v>9</v>
      </c>
      <c r="C1240" s="83" t="s">
        <v>5367</v>
      </c>
      <c r="D1240" s="83" t="s">
        <v>5368</v>
      </c>
      <c r="E1240" s="84" t="s">
        <v>4329</v>
      </c>
      <c r="F1240" s="83" t="s">
        <v>4330</v>
      </c>
      <c r="G1240" s="83" t="s">
        <v>150</v>
      </c>
      <c r="H1240" s="83"/>
    </row>
    <row r="1241" customFormat="false" ht="15" hidden="false" customHeight="false" outlineLevel="0" collapsed="false">
      <c r="A1241" s="83" t="n">
        <v>1240</v>
      </c>
      <c r="B1241" s="83" t="s">
        <v>9</v>
      </c>
      <c r="C1241" s="83" t="s">
        <v>5369</v>
      </c>
      <c r="D1241" s="83" t="s">
        <v>5370</v>
      </c>
      <c r="E1241" s="84" t="s">
        <v>5371</v>
      </c>
      <c r="F1241" s="83" t="s">
        <v>5372</v>
      </c>
      <c r="G1241" s="83" t="s">
        <v>150</v>
      </c>
      <c r="H1241" s="83"/>
    </row>
    <row r="1242" customFormat="false" ht="15" hidden="false" customHeight="false" outlineLevel="0" collapsed="false">
      <c r="A1242" s="83" t="n">
        <v>1241</v>
      </c>
      <c r="B1242" s="83" t="s">
        <v>9</v>
      </c>
      <c r="C1242" s="83" t="s">
        <v>5373</v>
      </c>
      <c r="D1242" s="83" t="s">
        <v>5374</v>
      </c>
      <c r="E1242" s="84" t="s">
        <v>5375</v>
      </c>
      <c r="F1242" s="83" t="s">
        <v>5376</v>
      </c>
      <c r="G1242" s="83" t="s">
        <v>150</v>
      </c>
      <c r="H1242" s="83"/>
    </row>
    <row r="1243" customFormat="false" ht="15" hidden="false" customHeight="false" outlineLevel="0" collapsed="false">
      <c r="A1243" s="83" t="n">
        <v>1242</v>
      </c>
      <c r="B1243" s="83" t="s">
        <v>9</v>
      </c>
      <c r="C1243" s="83" t="s">
        <v>5377</v>
      </c>
      <c r="D1243" s="83" t="s">
        <v>5378</v>
      </c>
      <c r="E1243" s="84" t="s">
        <v>5379</v>
      </c>
      <c r="F1243" s="83" t="s">
        <v>5380</v>
      </c>
      <c r="G1243" s="83" t="s">
        <v>150</v>
      </c>
      <c r="H1243" s="83"/>
    </row>
    <row r="1244" customFormat="false" ht="15" hidden="false" customHeight="false" outlineLevel="0" collapsed="false">
      <c r="A1244" s="83" t="n">
        <v>1243</v>
      </c>
      <c r="B1244" s="83" t="s">
        <v>9</v>
      </c>
      <c r="C1244" s="83" t="s">
        <v>5381</v>
      </c>
      <c r="D1244" s="83" t="s">
        <v>5382</v>
      </c>
      <c r="E1244" s="84" t="s">
        <v>5383</v>
      </c>
      <c r="F1244" s="83" t="s">
        <v>5384</v>
      </c>
      <c r="G1244" s="83" t="s">
        <v>150</v>
      </c>
      <c r="H1244" s="83"/>
    </row>
    <row r="1245" customFormat="false" ht="15" hidden="false" customHeight="false" outlineLevel="0" collapsed="false">
      <c r="A1245" s="83" t="n">
        <v>1244</v>
      </c>
      <c r="B1245" s="83" t="s">
        <v>9</v>
      </c>
      <c r="C1245" s="83" t="s">
        <v>5385</v>
      </c>
      <c r="D1245" s="83" t="s">
        <v>5386</v>
      </c>
      <c r="E1245" s="84" t="s">
        <v>5387</v>
      </c>
      <c r="F1245" s="83" t="s">
        <v>5388</v>
      </c>
      <c r="G1245" s="83" t="s">
        <v>150</v>
      </c>
      <c r="H1245" s="83"/>
    </row>
    <row r="1246" customFormat="false" ht="15" hidden="false" customHeight="false" outlineLevel="0" collapsed="false">
      <c r="A1246" s="83" t="n">
        <v>1245</v>
      </c>
      <c r="B1246" s="83" t="s">
        <v>9</v>
      </c>
      <c r="C1246" s="83" t="s">
        <v>5389</v>
      </c>
      <c r="D1246" s="83" t="s">
        <v>5390</v>
      </c>
      <c r="E1246" s="84" t="s">
        <v>5391</v>
      </c>
      <c r="F1246" s="83" t="s">
        <v>5392</v>
      </c>
      <c r="G1246" s="83" t="s">
        <v>150</v>
      </c>
      <c r="H1246" s="83"/>
    </row>
    <row r="1247" customFormat="false" ht="15" hidden="false" customHeight="false" outlineLevel="0" collapsed="false">
      <c r="A1247" s="83" t="n">
        <v>1246</v>
      </c>
      <c r="B1247" s="83" t="s">
        <v>9</v>
      </c>
      <c r="C1247" s="83" t="s">
        <v>5393</v>
      </c>
      <c r="D1247" s="83" t="s">
        <v>5394</v>
      </c>
      <c r="E1247" s="84" t="s">
        <v>5395</v>
      </c>
      <c r="F1247" s="83" t="s">
        <v>5396</v>
      </c>
      <c r="G1247" s="83" t="s">
        <v>150</v>
      </c>
      <c r="H1247" s="83"/>
    </row>
    <row r="1248" customFormat="false" ht="15" hidden="false" customHeight="false" outlineLevel="0" collapsed="false">
      <c r="A1248" s="83" t="n">
        <v>1247</v>
      </c>
      <c r="B1248" s="83" t="s">
        <v>9</v>
      </c>
      <c r="C1248" s="83" t="s">
        <v>5397</v>
      </c>
      <c r="D1248" s="83" t="s">
        <v>5398</v>
      </c>
      <c r="E1248" s="84" t="s">
        <v>5399</v>
      </c>
      <c r="F1248" s="83" t="s">
        <v>5400</v>
      </c>
      <c r="G1248" s="83" t="s">
        <v>150</v>
      </c>
      <c r="H1248" s="83"/>
    </row>
    <row r="1249" customFormat="false" ht="15" hidden="false" customHeight="false" outlineLevel="0" collapsed="false">
      <c r="A1249" s="83" t="n">
        <v>1248</v>
      </c>
      <c r="B1249" s="83" t="s">
        <v>9</v>
      </c>
      <c r="C1249" s="83" t="s">
        <v>5401</v>
      </c>
      <c r="D1249" s="83" t="s">
        <v>5402</v>
      </c>
      <c r="E1249" s="84" t="s">
        <v>5403</v>
      </c>
      <c r="F1249" s="83" t="s">
        <v>5404</v>
      </c>
      <c r="G1249" s="83" t="s">
        <v>150</v>
      </c>
      <c r="H1249" s="83"/>
    </row>
    <row r="1250" customFormat="false" ht="15" hidden="false" customHeight="false" outlineLevel="0" collapsed="false">
      <c r="A1250" s="83" t="n">
        <v>1249</v>
      </c>
      <c r="B1250" s="83" t="s">
        <v>9</v>
      </c>
      <c r="C1250" s="83" t="s">
        <v>5405</v>
      </c>
      <c r="D1250" s="83" t="s">
        <v>5406</v>
      </c>
      <c r="E1250" s="84" t="s">
        <v>5407</v>
      </c>
      <c r="F1250" s="83" t="s">
        <v>5408</v>
      </c>
      <c r="G1250" s="83" t="s">
        <v>150</v>
      </c>
      <c r="H1250" s="83"/>
    </row>
    <row r="1251" customFormat="false" ht="15" hidden="false" customHeight="false" outlineLevel="0" collapsed="false">
      <c r="A1251" s="83" t="n">
        <v>1250</v>
      </c>
      <c r="B1251" s="83" t="s">
        <v>9</v>
      </c>
      <c r="C1251" s="83" t="s">
        <v>5409</v>
      </c>
      <c r="D1251" s="83" t="s">
        <v>5410</v>
      </c>
      <c r="E1251" s="84" t="s">
        <v>5411</v>
      </c>
      <c r="F1251" s="83" t="s">
        <v>5412</v>
      </c>
      <c r="G1251" s="83" t="s">
        <v>150</v>
      </c>
      <c r="H1251" s="83"/>
    </row>
    <row r="1252" customFormat="false" ht="15" hidden="false" customHeight="false" outlineLevel="0" collapsed="false">
      <c r="A1252" s="83" t="n">
        <v>1251</v>
      </c>
      <c r="B1252" s="83" t="s">
        <v>9</v>
      </c>
      <c r="C1252" s="83" t="s">
        <v>5413</v>
      </c>
      <c r="D1252" s="83" t="s">
        <v>5414</v>
      </c>
      <c r="E1252" s="84" t="s">
        <v>4103</v>
      </c>
      <c r="F1252" s="83" t="s">
        <v>4104</v>
      </c>
      <c r="G1252" s="83" t="s">
        <v>150</v>
      </c>
      <c r="H1252" s="83"/>
    </row>
    <row r="1253" customFormat="false" ht="15" hidden="false" customHeight="false" outlineLevel="0" collapsed="false">
      <c r="A1253" s="83" t="n">
        <v>1252</v>
      </c>
      <c r="B1253" s="83" t="s">
        <v>9</v>
      </c>
      <c r="C1253" s="83" t="s">
        <v>5415</v>
      </c>
      <c r="D1253" s="83" t="s">
        <v>5416</v>
      </c>
      <c r="E1253" s="84" t="s">
        <v>5417</v>
      </c>
      <c r="F1253" s="83" t="s">
        <v>5418</v>
      </c>
      <c r="G1253" s="83" t="s">
        <v>150</v>
      </c>
      <c r="H1253" s="83"/>
    </row>
    <row r="1254" customFormat="false" ht="15" hidden="false" customHeight="false" outlineLevel="0" collapsed="false">
      <c r="A1254" s="83" t="n">
        <v>1253</v>
      </c>
      <c r="B1254" s="83" t="s">
        <v>9</v>
      </c>
      <c r="C1254" s="83" t="s">
        <v>5419</v>
      </c>
      <c r="D1254" s="83" t="s">
        <v>5420</v>
      </c>
      <c r="E1254" s="84" t="s">
        <v>5421</v>
      </c>
      <c r="F1254" s="83" t="s">
        <v>5422</v>
      </c>
      <c r="G1254" s="83" t="s">
        <v>150</v>
      </c>
      <c r="H1254" s="83"/>
    </row>
    <row r="1255" customFormat="false" ht="15" hidden="false" customHeight="false" outlineLevel="0" collapsed="false">
      <c r="A1255" s="83" t="n">
        <v>1254</v>
      </c>
      <c r="B1255" s="83" t="s">
        <v>9</v>
      </c>
      <c r="C1255" s="83" t="s">
        <v>5423</v>
      </c>
      <c r="D1255" s="83" t="s">
        <v>4308</v>
      </c>
      <c r="E1255" s="84" t="s">
        <v>4309</v>
      </c>
      <c r="F1255" s="83" t="s">
        <v>4310</v>
      </c>
      <c r="G1255" s="83" t="s">
        <v>150</v>
      </c>
      <c r="H1255" s="83"/>
    </row>
    <row r="1256" customFormat="false" ht="15" hidden="false" customHeight="false" outlineLevel="0" collapsed="false">
      <c r="A1256" s="83" t="n">
        <v>1255</v>
      </c>
      <c r="B1256" s="83" t="s">
        <v>9</v>
      </c>
      <c r="C1256" s="83" t="s">
        <v>5424</v>
      </c>
      <c r="D1256" s="83" t="s">
        <v>5425</v>
      </c>
      <c r="E1256" s="84" t="s">
        <v>5426</v>
      </c>
      <c r="F1256" s="83" t="s">
        <v>5427</v>
      </c>
      <c r="G1256" s="83" t="s">
        <v>150</v>
      </c>
      <c r="H1256" s="83"/>
    </row>
    <row r="1257" customFormat="false" ht="15" hidden="false" customHeight="false" outlineLevel="0" collapsed="false">
      <c r="A1257" s="83" t="n">
        <v>1256</v>
      </c>
      <c r="B1257" s="83" t="s">
        <v>9</v>
      </c>
      <c r="C1257" s="83" t="s">
        <v>5428</v>
      </c>
      <c r="D1257" s="83" t="s">
        <v>5429</v>
      </c>
      <c r="E1257" s="84" t="s">
        <v>5430</v>
      </c>
      <c r="F1257" s="83" t="s">
        <v>5431</v>
      </c>
      <c r="G1257" s="83" t="s">
        <v>150</v>
      </c>
      <c r="H1257" s="83"/>
    </row>
    <row r="1258" customFormat="false" ht="15" hidden="false" customHeight="false" outlineLevel="0" collapsed="false">
      <c r="A1258" s="83" t="n">
        <v>1257</v>
      </c>
      <c r="B1258" s="83" t="s">
        <v>9</v>
      </c>
      <c r="C1258" s="83" t="s">
        <v>5432</v>
      </c>
      <c r="D1258" s="83" t="s">
        <v>5433</v>
      </c>
      <c r="E1258" s="84" t="s">
        <v>5434</v>
      </c>
      <c r="F1258" s="83" t="s">
        <v>1137</v>
      </c>
      <c r="G1258" s="83" t="s">
        <v>152</v>
      </c>
      <c r="H1258" s="83"/>
    </row>
    <row r="1259" customFormat="false" ht="15" hidden="false" customHeight="false" outlineLevel="0" collapsed="false">
      <c r="A1259" s="83" t="n">
        <v>1258</v>
      </c>
      <c r="B1259" s="83" t="s">
        <v>9</v>
      </c>
      <c r="C1259" s="83" t="s">
        <v>5435</v>
      </c>
      <c r="D1259" s="83" t="s">
        <v>5436</v>
      </c>
      <c r="E1259" s="84" t="s">
        <v>5437</v>
      </c>
      <c r="F1259" s="83" t="s">
        <v>5438</v>
      </c>
      <c r="G1259" s="83" t="s">
        <v>152</v>
      </c>
      <c r="H1259" s="83"/>
    </row>
    <row r="1260" customFormat="false" ht="15" hidden="false" customHeight="false" outlineLevel="0" collapsed="false">
      <c r="A1260" s="83" t="n">
        <v>1259</v>
      </c>
      <c r="B1260" s="83" t="s">
        <v>9</v>
      </c>
      <c r="C1260" s="83" t="s">
        <v>5439</v>
      </c>
      <c r="D1260" s="83" t="s">
        <v>5440</v>
      </c>
      <c r="E1260" s="84" t="s">
        <v>5441</v>
      </c>
      <c r="F1260" s="83" t="s">
        <v>2085</v>
      </c>
      <c r="G1260" s="83" t="s">
        <v>152</v>
      </c>
      <c r="H1260" s="83"/>
    </row>
    <row r="1261" customFormat="false" ht="15" hidden="false" customHeight="false" outlineLevel="0" collapsed="false">
      <c r="A1261" s="83" t="n">
        <v>1260</v>
      </c>
      <c r="B1261" s="83" t="s">
        <v>9</v>
      </c>
      <c r="C1261" s="83" t="s">
        <v>5442</v>
      </c>
      <c r="D1261" s="83" t="s">
        <v>5443</v>
      </c>
      <c r="E1261" s="84" t="s">
        <v>5444</v>
      </c>
      <c r="F1261" s="83" t="s">
        <v>5445</v>
      </c>
      <c r="G1261" s="83" t="s">
        <v>152</v>
      </c>
      <c r="H1261" s="83"/>
    </row>
    <row r="1262" customFormat="false" ht="15" hidden="false" customHeight="false" outlineLevel="0" collapsed="false">
      <c r="A1262" s="83" t="n">
        <v>1261</v>
      </c>
      <c r="B1262" s="83" t="s">
        <v>9</v>
      </c>
      <c r="C1262" s="83" t="s">
        <v>5446</v>
      </c>
      <c r="D1262" s="83" t="s">
        <v>5447</v>
      </c>
      <c r="E1262" s="84" t="s">
        <v>5448</v>
      </c>
      <c r="F1262" s="83" t="s">
        <v>5449</v>
      </c>
      <c r="G1262" s="83" t="s">
        <v>152</v>
      </c>
      <c r="H1262" s="83"/>
    </row>
    <row r="1263" customFormat="false" ht="15" hidden="false" customHeight="false" outlineLevel="0" collapsed="false">
      <c r="A1263" s="83" t="n">
        <v>1262</v>
      </c>
      <c r="B1263" s="83" t="s">
        <v>9</v>
      </c>
      <c r="C1263" s="83" t="s">
        <v>5450</v>
      </c>
      <c r="D1263" s="83" t="s">
        <v>5451</v>
      </c>
      <c r="E1263" s="84" t="s">
        <v>5452</v>
      </c>
      <c r="F1263" s="83" t="s">
        <v>5453</v>
      </c>
      <c r="G1263" s="83" t="s">
        <v>152</v>
      </c>
      <c r="H1263" s="83"/>
    </row>
    <row r="1264" customFormat="false" ht="15" hidden="false" customHeight="false" outlineLevel="0" collapsed="false">
      <c r="A1264" s="83" t="n">
        <v>1263</v>
      </c>
      <c r="B1264" s="83" t="s">
        <v>9</v>
      </c>
      <c r="C1264" s="83" t="s">
        <v>5454</v>
      </c>
      <c r="D1264" s="83" t="s">
        <v>5455</v>
      </c>
      <c r="E1264" s="84" t="s">
        <v>5456</v>
      </c>
      <c r="F1264" s="83" t="s">
        <v>5457</v>
      </c>
      <c r="G1264" s="83" t="s">
        <v>152</v>
      </c>
      <c r="H1264" s="83"/>
    </row>
    <row r="1265" customFormat="false" ht="15" hidden="false" customHeight="false" outlineLevel="0" collapsed="false">
      <c r="A1265" s="83" t="n">
        <v>1264</v>
      </c>
      <c r="B1265" s="83" t="s">
        <v>9</v>
      </c>
      <c r="C1265" s="83" t="s">
        <v>5458</v>
      </c>
      <c r="D1265" s="83" t="s">
        <v>5459</v>
      </c>
      <c r="E1265" s="84" t="s">
        <v>5460</v>
      </c>
      <c r="F1265" s="83" t="s">
        <v>5461</v>
      </c>
      <c r="G1265" s="83" t="s">
        <v>152</v>
      </c>
      <c r="H1265" s="83"/>
    </row>
    <row r="1266" customFormat="false" ht="15" hidden="false" customHeight="false" outlineLevel="0" collapsed="false">
      <c r="A1266" s="83" t="n">
        <v>1265</v>
      </c>
      <c r="B1266" s="83" t="s">
        <v>9</v>
      </c>
      <c r="C1266" s="83" t="s">
        <v>5462</v>
      </c>
      <c r="D1266" s="83" t="s">
        <v>5463</v>
      </c>
      <c r="E1266" s="84" t="s">
        <v>1994</v>
      </c>
      <c r="F1266" s="83" t="s">
        <v>1995</v>
      </c>
      <c r="G1266" s="83" t="s">
        <v>152</v>
      </c>
      <c r="H1266" s="83" t="s">
        <v>5464</v>
      </c>
    </row>
    <row r="1267" customFormat="false" ht="15" hidden="false" customHeight="false" outlineLevel="0" collapsed="false">
      <c r="A1267" s="83" t="n">
        <v>1266</v>
      </c>
      <c r="B1267" s="83" t="s">
        <v>9</v>
      </c>
      <c r="C1267" s="83" t="s">
        <v>5465</v>
      </c>
      <c r="D1267" s="83" t="s">
        <v>5466</v>
      </c>
      <c r="E1267" s="84" t="s">
        <v>5467</v>
      </c>
      <c r="F1267" s="83" t="s">
        <v>5468</v>
      </c>
      <c r="G1267" s="83" t="s">
        <v>152</v>
      </c>
      <c r="H1267" s="83" t="s">
        <v>5469</v>
      </c>
    </row>
    <row r="1268" customFormat="false" ht="15" hidden="false" customHeight="false" outlineLevel="0" collapsed="false">
      <c r="A1268" s="83" t="n">
        <v>1267</v>
      </c>
      <c r="B1268" s="83" t="s">
        <v>9</v>
      </c>
      <c r="C1268" s="83" t="s">
        <v>5470</v>
      </c>
      <c r="D1268" s="83" t="s">
        <v>5471</v>
      </c>
      <c r="E1268" s="84" t="s">
        <v>5472</v>
      </c>
      <c r="F1268" s="83" t="s">
        <v>5473</v>
      </c>
      <c r="G1268" s="83" t="s">
        <v>152</v>
      </c>
      <c r="H1268" s="83"/>
    </row>
    <row r="1269" customFormat="false" ht="15" hidden="false" customHeight="false" outlineLevel="0" collapsed="false">
      <c r="A1269" s="83" t="n">
        <v>1268</v>
      </c>
      <c r="B1269" s="83" t="s">
        <v>9</v>
      </c>
      <c r="C1269" s="83" t="s">
        <v>5474</v>
      </c>
      <c r="D1269" s="83" t="s">
        <v>5475</v>
      </c>
      <c r="E1269" s="84" t="s">
        <v>5476</v>
      </c>
      <c r="F1269" s="83" t="s">
        <v>5477</v>
      </c>
      <c r="G1269" s="83" t="s">
        <v>152</v>
      </c>
      <c r="H1269" s="83"/>
    </row>
    <row r="1270" customFormat="false" ht="15" hidden="false" customHeight="false" outlineLevel="0" collapsed="false">
      <c r="A1270" s="83" t="n">
        <v>1269</v>
      </c>
      <c r="B1270" s="83" t="s">
        <v>9</v>
      </c>
      <c r="C1270" s="83" t="s">
        <v>5478</v>
      </c>
      <c r="D1270" s="83" t="s">
        <v>5479</v>
      </c>
      <c r="E1270" s="84" t="s">
        <v>5480</v>
      </c>
      <c r="F1270" s="83" t="s">
        <v>5468</v>
      </c>
      <c r="G1270" s="83" t="s">
        <v>152</v>
      </c>
      <c r="H1270" s="83"/>
    </row>
    <row r="1271" customFormat="false" ht="15" hidden="false" customHeight="false" outlineLevel="0" collapsed="false">
      <c r="A1271" s="83" t="n">
        <v>1270</v>
      </c>
      <c r="B1271" s="83" t="s">
        <v>9</v>
      </c>
      <c r="C1271" s="83" t="s">
        <v>5481</v>
      </c>
      <c r="D1271" s="83" t="s">
        <v>5482</v>
      </c>
      <c r="E1271" s="84" t="s">
        <v>5483</v>
      </c>
      <c r="F1271" s="83" t="s">
        <v>5484</v>
      </c>
      <c r="G1271" s="83" t="s">
        <v>152</v>
      </c>
      <c r="H1271" s="83" t="s">
        <v>5485</v>
      </c>
    </row>
    <row r="1272" customFormat="false" ht="15" hidden="false" customHeight="false" outlineLevel="0" collapsed="false">
      <c r="A1272" s="83" t="n">
        <v>1271</v>
      </c>
      <c r="B1272" s="83" t="s">
        <v>9</v>
      </c>
      <c r="C1272" s="83" t="s">
        <v>5486</v>
      </c>
      <c r="D1272" s="83" t="s">
        <v>5487</v>
      </c>
      <c r="E1272" s="84" t="s">
        <v>5488</v>
      </c>
      <c r="F1272" s="83" t="s">
        <v>5489</v>
      </c>
      <c r="G1272" s="83" t="s">
        <v>152</v>
      </c>
      <c r="H1272" s="83"/>
    </row>
    <row r="1273" customFormat="false" ht="15" hidden="false" customHeight="false" outlineLevel="0" collapsed="false">
      <c r="A1273" s="83" t="n">
        <v>1272</v>
      </c>
      <c r="B1273" s="83" t="s">
        <v>9</v>
      </c>
      <c r="C1273" s="83" t="s">
        <v>5490</v>
      </c>
      <c r="D1273" s="83" t="s">
        <v>5491</v>
      </c>
      <c r="E1273" s="84" t="s">
        <v>5492</v>
      </c>
      <c r="F1273" s="83" t="s">
        <v>5493</v>
      </c>
      <c r="G1273" s="83" t="s">
        <v>152</v>
      </c>
      <c r="H1273" s="83"/>
    </row>
    <row r="1274" customFormat="false" ht="15" hidden="false" customHeight="false" outlineLevel="0" collapsed="false">
      <c r="A1274" s="83" t="n">
        <v>1273</v>
      </c>
      <c r="B1274" s="83" t="s">
        <v>9</v>
      </c>
      <c r="C1274" s="83" t="s">
        <v>5494</v>
      </c>
      <c r="D1274" s="83" t="s">
        <v>5495</v>
      </c>
      <c r="E1274" s="84" t="s">
        <v>5496</v>
      </c>
      <c r="F1274" s="83" t="s">
        <v>5497</v>
      </c>
      <c r="G1274" s="83" t="s">
        <v>152</v>
      </c>
      <c r="H1274" s="83"/>
    </row>
    <row r="1275" customFormat="false" ht="15" hidden="false" customHeight="false" outlineLevel="0" collapsed="false">
      <c r="A1275" s="83" t="n">
        <v>1274</v>
      </c>
      <c r="B1275" s="83" t="s">
        <v>9</v>
      </c>
      <c r="C1275" s="83" t="s">
        <v>5498</v>
      </c>
      <c r="D1275" s="83" t="s">
        <v>5499</v>
      </c>
      <c r="E1275" s="84" t="s">
        <v>5500</v>
      </c>
      <c r="F1275" s="83" t="s">
        <v>5501</v>
      </c>
      <c r="G1275" s="83" t="s">
        <v>152</v>
      </c>
      <c r="H1275" s="83" t="s">
        <v>5502</v>
      </c>
    </row>
    <row r="1276" customFormat="false" ht="15" hidden="false" customHeight="false" outlineLevel="0" collapsed="false">
      <c r="A1276" s="83" t="n">
        <v>1275</v>
      </c>
      <c r="B1276" s="83" t="s">
        <v>9</v>
      </c>
      <c r="C1276" s="83" t="s">
        <v>3517</v>
      </c>
      <c r="D1276" s="83" t="s">
        <v>5503</v>
      </c>
      <c r="E1276" s="84" t="s">
        <v>3519</v>
      </c>
      <c r="F1276" s="83" t="s">
        <v>3520</v>
      </c>
      <c r="G1276" s="83" t="s">
        <v>152</v>
      </c>
      <c r="H1276" s="83" t="s">
        <v>3521</v>
      </c>
    </row>
    <row r="1277" customFormat="false" ht="15" hidden="false" customHeight="false" outlineLevel="0" collapsed="false">
      <c r="A1277" s="83" t="n">
        <v>1276</v>
      </c>
      <c r="B1277" s="83" t="s">
        <v>9</v>
      </c>
      <c r="C1277" s="83" t="s">
        <v>5504</v>
      </c>
      <c r="D1277" s="83" t="s">
        <v>5505</v>
      </c>
      <c r="E1277" s="84" t="s">
        <v>5506</v>
      </c>
      <c r="F1277" s="83" t="s">
        <v>5507</v>
      </c>
      <c r="G1277" s="83" t="s">
        <v>152</v>
      </c>
      <c r="H1277" s="83" t="s">
        <v>5508</v>
      </c>
    </row>
    <row r="1278" customFormat="false" ht="15" hidden="false" customHeight="false" outlineLevel="0" collapsed="false">
      <c r="A1278" s="83" t="n">
        <v>1277</v>
      </c>
      <c r="B1278" s="83" t="s">
        <v>9</v>
      </c>
      <c r="C1278" s="83" t="s">
        <v>5509</v>
      </c>
      <c r="D1278" s="83" t="s">
        <v>5510</v>
      </c>
      <c r="E1278" s="84" t="s">
        <v>5511</v>
      </c>
      <c r="F1278" s="83" t="s">
        <v>5512</v>
      </c>
      <c r="G1278" s="83" t="s">
        <v>152</v>
      </c>
      <c r="H1278" s="83"/>
    </row>
    <row r="1279" customFormat="false" ht="15" hidden="false" customHeight="false" outlineLevel="0" collapsed="false">
      <c r="A1279" s="83" t="n">
        <v>1278</v>
      </c>
      <c r="B1279" s="83" t="s">
        <v>9</v>
      </c>
      <c r="C1279" s="83" t="s">
        <v>5513</v>
      </c>
      <c r="D1279" s="83" t="s">
        <v>5514</v>
      </c>
      <c r="E1279" s="84" t="s">
        <v>5515</v>
      </c>
      <c r="F1279" s="83" t="s">
        <v>5516</v>
      </c>
      <c r="G1279" s="83" t="s">
        <v>152</v>
      </c>
      <c r="H1279" s="83"/>
    </row>
    <row r="1280" customFormat="false" ht="15" hidden="false" customHeight="false" outlineLevel="0" collapsed="false">
      <c r="A1280" s="83" t="n">
        <v>1279</v>
      </c>
      <c r="B1280" s="83" t="s">
        <v>9</v>
      </c>
      <c r="C1280" s="83" t="s">
        <v>5517</v>
      </c>
      <c r="D1280" s="83" t="s">
        <v>5518</v>
      </c>
      <c r="E1280" s="84" t="s">
        <v>5519</v>
      </c>
      <c r="F1280" s="83" t="s">
        <v>5520</v>
      </c>
      <c r="G1280" s="83" t="s">
        <v>152</v>
      </c>
      <c r="H1280" s="83"/>
    </row>
    <row r="1281" customFormat="false" ht="15" hidden="false" customHeight="false" outlineLevel="0" collapsed="false">
      <c r="A1281" s="83" t="n">
        <v>1280</v>
      </c>
      <c r="B1281" s="83" t="s">
        <v>9</v>
      </c>
      <c r="C1281" s="83" t="s">
        <v>5521</v>
      </c>
      <c r="D1281" s="83" t="s">
        <v>5522</v>
      </c>
      <c r="E1281" s="84" t="s">
        <v>5523</v>
      </c>
      <c r="F1281" s="83" t="s">
        <v>5524</v>
      </c>
      <c r="G1281" s="83" t="s">
        <v>154</v>
      </c>
      <c r="H1281" s="83"/>
    </row>
    <row r="1282" customFormat="false" ht="15" hidden="false" customHeight="false" outlineLevel="0" collapsed="false">
      <c r="A1282" s="83" t="n">
        <v>1281</v>
      </c>
      <c r="B1282" s="83" t="s">
        <v>9</v>
      </c>
      <c r="C1282" s="83" t="s">
        <v>5525</v>
      </c>
      <c r="D1282" s="83" t="s">
        <v>5526</v>
      </c>
      <c r="E1282" s="84" t="s">
        <v>5527</v>
      </c>
      <c r="F1282" s="83" t="s">
        <v>5528</v>
      </c>
      <c r="G1282" s="83" t="s">
        <v>154</v>
      </c>
      <c r="H1282" s="83"/>
    </row>
    <row r="1283" customFormat="false" ht="15" hidden="false" customHeight="false" outlineLevel="0" collapsed="false">
      <c r="A1283" s="83" t="n">
        <v>1282</v>
      </c>
      <c r="B1283" s="83" t="s">
        <v>9</v>
      </c>
      <c r="C1283" s="83" t="s">
        <v>5529</v>
      </c>
      <c r="D1283" s="83" t="s">
        <v>5530</v>
      </c>
      <c r="E1283" s="84" t="s">
        <v>5531</v>
      </c>
      <c r="F1283" s="83" t="s">
        <v>5532</v>
      </c>
      <c r="G1283" s="83" t="s">
        <v>154</v>
      </c>
      <c r="H1283" s="83"/>
    </row>
    <row r="1284" customFormat="false" ht="15" hidden="false" customHeight="false" outlineLevel="0" collapsed="false">
      <c r="A1284" s="83" t="n">
        <v>1283</v>
      </c>
      <c r="B1284" s="83" t="s">
        <v>9</v>
      </c>
      <c r="C1284" s="83" t="s">
        <v>5533</v>
      </c>
      <c r="D1284" s="83" t="s">
        <v>5534</v>
      </c>
      <c r="E1284" s="84" t="s">
        <v>5535</v>
      </c>
      <c r="F1284" s="83" t="s">
        <v>5536</v>
      </c>
      <c r="G1284" s="83" t="s">
        <v>154</v>
      </c>
      <c r="H1284" s="83"/>
    </row>
    <row r="1285" customFormat="false" ht="15" hidden="false" customHeight="false" outlineLevel="0" collapsed="false">
      <c r="A1285" s="83" t="n">
        <v>1284</v>
      </c>
      <c r="B1285" s="83" t="s">
        <v>9</v>
      </c>
      <c r="C1285" s="83" t="s">
        <v>5537</v>
      </c>
      <c r="D1285" s="83" t="s">
        <v>5538</v>
      </c>
      <c r="E1285" s="84" t="s">
        <v>5539</v>
      </c>
      <c r="F1285" s="83" t="s">
        <v>1894</v>
      </c>
      <c r="G1285" s="83" t="s">
        <v>154</v>
      </c>
      <c r="H1285" s="83"/>
    </row>
    <row r="1286" customFormat="false" ht="15" hidden="false" customHeight="false" outlineLevel="0" collapsed="false">
      <c r="A1286" s="83" t="n">
        <v>1285</v>
      </c>
      <c r="B1286" s="83" t="s">
        <v>9</v>
      </c>
      <c r="C1286" s="83" t="s">
        <v>5540</v>
      </c>
      <c r="D1286" s="83" t="s">
        <v>5541</v>
      </c>
      <c r="E1286" s="84" t="s">
        <v>5542</v>
      </c>
      <c r="F1286" s="83" t="s">
        <v>5543</v>
      </c>
      <c r="G1286" s="83" t="s">
        <v>154</v>
      </c>
      <c r="H1286" s="83"/>
    </row>
    <row r="1287" customFormat="false" ht="15" hidden="false" customHeight="false" outlineLevel="0" collapsed="false">
      <c r="A1287" s="83" t="n">
        <v>1286</v>
      </c>
      <c r="B1287" s="83" t="s">
        <v>9</v>
      </c>
      <c r="C1287" s="83" t="s">
        <v>5544</v>
      </c>
      <c r="D1287" s="83" t="s">
        <v>5545</v>
      </c>
      <c r="E1287" s="84" t="s">
        <v>5546</v>
      </c>
      <c r="F1287" s="83" t="s">
        <v>5547</v>
      </c>
      <c r="G1287" s="83" t="s">
        <v>154</v>
      </c>
      <c r="H1287" s="83"/>
    </row>
    <row r="1288" customFormat="false" ht="15" hidden="false" customHeight="false" outlineLevel="0" collapsed="false">
      <c r="A1288" s="83" t="n">
        <v>1287</v>
      </c>
      <c r="B1288" s="83" t="s">
        <v>9</v>
      </c>
      <c r="C1288" s="83" t="s">
        <v>5548</v>
      </c>
      <c r="D1288" s="83" t="s">
        <v>5549</v>
      </c>
      <c r="E1288" s="84" t="s">
        <v>5550</v>
      </c>
      <c r="F1288" s="83" t="s">
        <v>5551</v>
      </c>
      <c r="G1288" s="83" t="s">
        <v>154</v>
      </c>
      <c r="H1288" s="83"/>
    </row>
    <row r="1289" customFormat="false" ht="15" hidden="false" customHeight="false" outlineLevel="0" collapsed="false">
      <c r="A1289" s="83" t="n">
        <v>1288</v>
      </c>
      <c r="B1289" s="83" t="s">
        <v>9</v>
      </c>
      <c r="C1289" s="83" t="s">
        <v>5552</v>
      </c>
      <c r="D1289" s="83" t="s">
        <v>5553</v>
      </c>
      <c r="E1289" s="84" t="s">
        <v>5554</v>
      </c>
      <c r="F1289" s="83" t="s">
        <v>5555</v>
      </c>
      <c r="G1289" s="83" t="s">
        <v>154</v>
      </c>
      <c r="H1289" s="83"/>
    </row>
    <row r="1290" customFormat="false" ht="15" hidden="false" customHeight="false" outlineLevel="0" collapsed="false">
      <c r="A1290" s="83" t="n">
        <v>1289</v>
      </c>
      <c r="B1290" s="83" t="s">
        <v>9</v>
      </c>
      <c r="C1290" s="83" t="s">
        <v>5556</v>
      </c>
      <c r="D1290" s="83" t="s">
        <v>5557</v>
      </c>
      <c r="E1290" s="84" t="s">
        <v>5558</v>
      </c>
      <c r="F1290" s="83" t="s">
        <v>5559</v>
      </c>
      <c r="G1290" s="83" t="s">
        <v>154</v>
      </c>
      <c r="H1290" s="83"/>
    </row>
    <row r="1291" customFormat="false" ht="15" hidden="false" customHeight="false" outlineLevel="0" collapsed="false">
      <c r="A1291" s="83" t="n">
        <v>1290</v>
      </c>
      <c r="B1291" s="83" t="s">
        <v>9</v>
      </c>
      <c r="C1291" s="83" t="s">
        <v>5560</v>
      </c>
      <c r="D1291" s="83" t="s">
        <v>5561</v>
      </c>
      <c r="E1291" s="84" t="s">
        <v>5562</v>
      </c>
      <c r="F1291" s="83" t="s">
        <v>5563</v>
      </c>
      <c r="G1291" s="83" t="s">
        <v>154</v>
      </c>
      <c r="H1291" s="83"/>
    </row>
    <row r="1292" customFormat="false" ht="15" hidden="false" customHeight="false" outlineLevel="0" collapsed="false">
      <c r="A1292" s="83" t="n">
        <v>1291</v>
      </c>
      <c r="B1292" s="83" t="s">
        <v>9</v>
      </c>
      <c r="C1292" s="83" t="s">
        <v>5564</v>
      </c>
      <c r="D1292" s="83" t="s">
        <v>5565</v>
      </c>
      <c r="E1292" s="84" t="s">
        <v>5566</v>
      </c>
      <c r="F1292" s="83" t="s">
        <v>5567</v>
      </c>
      <c r="G1292" s="83" t="s">
        <v>154</v>
      </c>
      <c r="H1292" s="83"/>
    </row>
    <row r="1293" customFormat="false" ht="15" hidden="false" customHeight="false" outlineLevel="0" collapsed="false">
      <c r="A1293" s="83" t="n">
        <v>1292</v>
      </c>
      <c r="B1293" s="83" t="s">
        <v>9</v>
      </c>
      <c r="C1293" s="83" t="s">
        <v>5568</v>
      </c>
      <c r="D1293" s="83" t="s">
        <v>5569</v>
      </c>
      <c r="E1293" s="84" t="s">
        <v>5570</v>
      </c>
      <c r="F1293" s="83" t="s">
        <v>5571</v>
      </c>
      <c r="G1293" s="83" t="s">
        <v>154</v>
      </c>
      <c r="H1293" s="83"/>
    </row>
    <row r="1294" customFormat="false" ht="15" hidden="false" customHeight="false" outlineLevel="0" collapsed="false">
      <c r="A1294" s="83" t="n">
        <v>1293</v>
      </c>
      <c r="B1294" s="83" t="s">
        <v>9</v>
      </c>
      <c r="C1294" s="83" t="s">
        <v>5572</v>
      </c>
      <c r="D1294" s="83" t="s">
        <v>5573</v>
      </c>
      <c r="E1294" s="84" t="s">
        <v>5574</v>
      </c>
      <c r="F1294" s="83" t="s">
        <v>5575</v>
      </c>
      <c r="G1294" s="83" t="s">
        <v>154</v>
      </c>
      <c r="H1294" s="83"/>
    </row>
    <row r="1295" customFormat="false" ht="15" hidden="false" customHeight="false" outlineLevel="0" collapsed="false">
      <c r="A1295" s="83" t="n">
        <v>1294</v>
      </c>
      <c r="B1295" s="83" t="s">
        <v>9</v>
      </c>
      <c r="C1295" s="83" t="s">
        <v>5576</v>
      </c>
      <c r="D1295" s="83" t="s">
        <v>5577</v>
      </c>
      <c r="E1295" s="84" t="s">
        <v>5578</v>
      </c>
      <c r="F1295" s="83" t="s">
        <v>5579</v>
      </c>
      <c r="G1295" s="83" t="s">
        <v>156</v>
      </c>
      <c r="H1295" s="83" t="s">
        <v>5580</v>
      </c>
    </row>
    <row r="1296" customFormat="false" ht="15" hidden="false" customHeight="false" outlineLevel="0" collapsed="false">
      <c r="A1296" s="83" t="n">
        <v>1295</v>
      </c>
      <c r="B1296" s="83" t="s">
        <v>9</v>
      </c>
      <c r="C1296" s="83" t="s">
        <v>5581</v>
      </c>
      <c r="D1296" s="83" t="s">
        <v>5582</v>
      </c>
      <c r="E1296" s="84" t="s">
        <v>5583</v>
      </c>
      <c r="F1296" s="83" t="s">
        <v>5584</v>
      </c>
      <c r="G1296" s="83" t="s">
        <v>156</v>
      </c>
      <c r="H1296" s="83"/>
    </row>
    <row r="1297" customFormat="false" ht="15" hidden="false" customHeight="false" outlineLevel="0" collapsed="false">
      <c r="A1297" s="83" t="n">
        <v>1296</v>
      </c>
      <c r="B1297" s="83" t="s">
        <v>9</v>
      </c>
      <c r="C1297" s="83" t="s">
        <v>5585</v>
      </c>
      <c r="D1297" s="83" t="s">
        <v>5586</v>
      </c>
      <c r="E1297" s="84" t="s">
        <v>5587</v>
      </c>
      <c r="F1297" s="83" t="s">
        <v>5588</v>
      </c>
      <c r="G1297" s="83" t="s">
        <v>156</v>
      </c>
      <c r="H1297" s="83"/>
    </row>
    <row r="1298" customFormat="false" ht="15" hidden="false" customHeight="false" outlineLevel="0" collapsed="false">
      <c r="A1298" s="83" t="n">
        <v>1297</v>
      </c>
      <c r="B1298" s="83" t="s">
        <v>9</v>
      </c>
      <c r="C1298" s="83" t="s">
        <v>5589</v>
      </c>
      <c r="D1298" s="83" t="s">
        <v>5590</v>
      </c>
      <c r="E1298" s="84" t="s">
        <v>5591</v>
      </c>
      <c r="F1298" s="83" t="s">
        <v>5592</v>
      </c>
      <c r="G1298" s="83" t="s">
        <v>156</v>
      </c>
      <c r="H1298" s="83" t="s">
        <v>5593</v>
      </c>
    </row>
    <row r="1299" customFormat="false" ht="15" hidden="false" customHeight="false" outlineLevel="0" collapsed="false">
      <c r="A1299" s="83" t="n">
        <v>1298</v>
      </c>
      <c r="B1299" s="83" t="s">
        <v>9</v>
      </c>
      <c r="C1299" s="83" t="s">
        <v>5594</v>
      </c>
      <c r="D1299" s="83" t="s">
        <v>5595</v>
      </c>
      <c r="E1299" s="84" t="s">
        <v>5596</v>
      </c>
      <c r="F1299" s="83" t="s">
        <v>5597</v>
      </c>
      <c r="G1299" s="83" t="s">
        <v>156</v>
      </c>
      <c r="H1299" s="83" t="s">
        <v>5598</v>
      </c>
    </row>
    <row r="1300" customFormat="false" ht="15" hidden="false" customHeight="false" outlineLevel="0" collapsed="false">
      <c r="A1300" s="83" t="n">
        <v>1299</v>
      </c>
      <c r="B1300" s="83" t="s">
        <v>9</v>
      </c>
      <c r="C1300" s="83" t="s">
        <v>5599</v>
      </c>
      <c r="D1300" s="83" t="s">
        <v>5600</v>
      </c>
      <c r="E1300" s="84" t="s">
        <v>5601</v>
      </c>
      <c r="F1300" s="83" t="s">
        <v>5602</v>
      </c>
      <c r="G1300" s="83" t="s">
        <v>156</v>
      </c>
      <c r="H1300" s="83"/>
    </row>
    <row r="1301" customFormat="false" ht="15" hidden="false" customHeight="false" outlineLevel="0" collapsed="false">
      <c r="A1301" s="83" t="n">
        <v>1300</v>
      </c>
      <c r="B1301" s="83" t="s">
        <v>9</v>
      </c>
      <c r="C1301" s="83" t="s">
        <v>5603</v>
      </c>
      <c r="D1301" s="83" t="s">
        <v>5604</v>
      </c>
      <c r="E1301" s="84" t="s">
        <v>5605</v>
      </c>
      <c r="F1301" s="83" t="s">
        <v>5606</v>
      </c>
      <c r="G1301" s="83" t="s">
        <v>156</v>
      </c>
      <c r="H1301" s="83"/>
    </row>
    <row r="1302" customFormat="false" ht="15" hidden="false" customHeight="false" outlineLevel="0" collapsed="false">
      <c r="A1302" s="83" t="n">
        <v>1301</v>
      </c>
      <c r="B1302" s="83" t="s">
        <v>9</v>
      </c>
      <c r="C1302" s="83" t="s">
        <v>5607</v>
      </c>
      <c r="D1302" s="83" t="s">
        <v>5608</v>
      </c>
      <c r="E1302" s="84" t="s">
        <v>5609</v>
      </c>
      <c r="F1302" s="83" t="s">
        <v>5610</v>
      </c>
      <c r="G1302" s="83" t="s">
        <v>156</v>
      </c>
      <c r="H1302" s="83"/>
    </row>
    <row r="1303" customFormat="false" ht="15" hidden="false" customHeight="false" outlineLevel="0" collapsed="false">
      <c r="A1303" s="83" t="n">
        <v>1302</v>
      </c>
      <c r="B1303" s="83" t="s">
        <v>9</v>
      </c>
      <c r="C1303" s="83" t="s">
        <v>5611</v>
      </c>
      <c r="D1303" s="83" t="s">
        <v>5612</v>
      </c>
      <c r="E1303" s="84" t="s">
        <v>5613</v>
      </c>
      <c r="F1303" s="83" t="s">
        <v>5614</v>
      </c>
      <c r="G1303" s="83" t="s">
        <v>156</v>
      </c>
      <c r="H1303" s="83"/>
    </row>
    <row r="1304" customFormat="false" ht="15" hidden="false" customHeight="false" outlineLevel="0" collapsed="false">
      <c r="A1304" s="83" t="n">
        <v>1303</v>
      </c>
      <c r="B1304" s="83" t="s">
        <v>9</v>
      </c>
      <c r="C1304" s="83" t="s">
        <v>5615</v>
      </c>
      <c r="D1304" s="83" t="s">
        <v>5616</v>
      </c>
      <c r="E1304" s="84" t="s">
        <v>5617</v>
      </c>
      <c r="F1304" s="83" t="s">
        <v>5618</v>
      </c>
      <c r="G1304" s="83" t="s">
        <v>156</v>
      </c>
      <c r="H1304" s="83"/>
    </row>
    <row r="1305" customFormat="false" ht="15" hidden="false" customHeight="false" outlineLevel="0" collapsed="false">
      <c r="A1305" s="83" t="n">
        <v>1304</v>
      </c>
      <c r="B1305" s="83" t="s">
        <v>9</v>
      </c>
      <c r="C1305" s="83" t="s">
        <v>5619</v>
      </c>
      <c r="D1305" s="83" t="s">
        <v>5620</v>
      </c>
      <c r="E1305" s="84" t="s">
        <v>5621</v>
      </c>
      <c r="F1305" s="83" t="s">
        <v>5622</v>
      </c>
      <c r="G1305" s="83" t="s">
        <v>156</v>
      </c>
      <c r="H1305" s="83" t="s">
        <v>5623</v>
      </c>
    </row>
    <row r="1306" customFormat="false" ht="15" hidden="false" customHeight="false" outlineLevel="0" collapsed="false">
      <c r="A1306" s="83" t="n">
        <v>1305</v>
      </c>
      <c r="B1306" s="83" t="s">
        <v>9</v>
      </c>
      <c r="C1306" s="83" t="s">
        <v>5624</v>
      </c>
      <c r="D1306" s="83" t="s">
        <v>5625</v>
      </c>
      <c r="E1306" s="84" t="s">
        <v>5626</v>
      </c>
      <c r="F1306" s="83" t="s">
        <v>5627</v>
      </c>
      <c r="G1306" s="83" t="s">
        <v>156</v>
      </c>
      <c r="H1306" s="83"/>
    </row>
    <row r="1307" customFormat="false" ht="15" hidden="false" customHeight="false" outlineLevel="0" collapsed="false">
      <c r="A1307" s="83" t="n">
        <v>1306</v>
      </c>
      <c r="B1307" s="83" t="s">
        <v>9</v>
      </c>
      <c r="C1307" s="83" t="s">
        <v>5628</v>
      </c>
      <c r="D1307" s="83" t="s">
        <v>5629</v>
      </c>
      <c r="E1307" s="84" t="s">
        <v>5630</v>
      </c>
      <c r="F1307" s="83" t="s">
        <v>5631</v>
      </c>
      <c r="G1307" s="83" t="s">
        <v>156</v>
      </c>
      <c r="H1307" s="83"/>
    </row>
    <row r="1308" customFormat="false" ht="15" hidden="false" customHeight="false" outlineLevel="0" collapsed="false">
      <c r="A1308" s="83" t="n">
        <v>1307</v>
      </c>
      <c r="B1308" s="83" t="s">
        <v>9</v>
      </c>
      <c r="C1308" s="83" t="s">
        <v>5632</v>
      </c>
      <c r="D1308" s="83" t="s">
        <v>5633</v>
      </c>
      <c r="E1308" s="84" t="s">
        <v>5634</v>
      </c>
      <c r="F1308" s="83" t="s">
        <v>5635</v>
      </c>
      <c r="G1308" s="83" t="s">
        <v>156</v>
      </c>
      <c r="H1308" s="83"/>
    </row>
    <row r="1309" customFormat="false" ht="15" hidden="false" customHeight="false" outlineLevel="0" collapsed="false">
      <c r="A1309" s="83" t="n">
        <v>1308</v>
      </c>
      <c r="B1309" s="83" t="s">
        <v>9</v>
      </c>
      <c r="C1309" s="83" t="s">
        <v>5636</v>
      </c>
      <c r="D1309" s="83" t="s">
        <v>5637</v>
      </c>
      <c r="E1309" s="84" t="s">
        <v>5638</v>
      </c>
      <c r="F1309" s="83" t="s">
        <v>5639</v>
      </c>
      <c r="G1309" s="83" t="s">
        <v>156</v>
      </c>
      <c r="H1309" s="83"/>
    </row>
    <row r="1310" customFormat="false" ht="15" hidden="false" customHeight="false" outlineLevel="0" collapsed="false">
      <c r="A1310" s="83" t="n">
        <v>1309</v>
      </c>
      <c r="B1310" s="83" t="s">
        <v>9</v>
      </c>
      <c r="C1310" s="83" t="s">
        <v>5640</v>
      </c>
      <c r="D1310" s="83" t="s">
        <v>5641</v>
      </c>
      <c r="E1310" s="84" t="s">
        <v>5642</v>
      </c>
      <c r="F1310" s="83" t="s">
        <v>5643</v>
      </c>
      <c r="G1310" s="83" t="s">
        <v>156</v>
      </c>
      <c r="H1310" s="83"/>
    </row>
    <row r="1311" customFormat="false" ht="15" hidden="false" customHeight="false" outlineLevel="0" collapsed="false">
      <c r="A1311" s="83" t="n">
        <v>1310</v>
      </c>
      <c r="B1311" s="83" t="s">
        <v>9</v>
      </c>
      <c r="C1311" s="83" t="s">
        <v>5644</v>
      </c>
      <c r="D1311" s="83" t="s">
        <v>5645</v>
      </c>
      <c r="E1311" s="84" t="s">
        <v>5646</v>
      </c>
      <c r="F1311" s="83" t="s">
        <v>5647</v>
      </c>
      <c r="G1311" s="83" t="s">
        <v>156</v>
      </c>
      <c r="H1311" s="83" t="s">
        <v>5648</v>
      </c>
    </row>
    <row r="1312" customFormat="false" ht="15" hidden="false" customHeight="false" outlineLevel="0" collapsed="false">
      <c r="A1312" s="83" t="n">
        <v>1311</v>
      </c>
      <c r="B1312" s="83" t="s">
        <v>9</v>
      </c>
      <c r="C1312" s="83" t="s">
        <v>5649</v>
      </c>
      <c r="D1312" s="83" t="s">
        <v>5650</v>
      </c>
      <c r="E1312" s="84" t="s">
        <v>5651</v>
      </c>
      <c r="F1312" s="83" t="s">
        <v>5652</v>
      </c>
      <c r="G1312" s="83" t="s">
        <v>156</v>
      </c>
      <c r="H1312" s="83" t="s">
        <v>5653</v>
      </c>
    </row>
    <row r="1313" customFormat="false" ht="15" hidden="false" customHeight="false" outlineLevel="0" collapsed="false">
      <c r="A1313" s="83" t="n">
        <v>1312</v>
      </c>
      <c r="B1313" s="83" t="s">
        <v>9</v>
      </c>
      <c r="C1313" s="83" t="s">
        <v>5654</v>
      </c>
      <c r="D1313" s="83" t="s">
        <v>5655</v>
      </c>
      <c r="E1313" s="84" t="s">
        <v>5656</v>
      </c>
      <c r="F1313" s="83" t="s">
        <v>5657</v>
      </c>
      <c r="G1313" s="83" t="s">
        <v>156</v>
      </c>
      <c r="H1313" s="83" t="s">
        <v>845</v>
      </c>
    </row>
    <row r="1314" customFormat="false" ht="15" hidden="false" customHeight="false" outlineLevel="0" collapsed="false">
      <c r="A1314" s="83" t="n">
        <v>1313</v>
      </c>
      <c r="B1314" s="83" t="s">
        <v>9</v>
      </c>
      <c r="C1314" s="83" t="s">
        <v>5658</v>
      </c>
      <c r="D1314" s="83" t="s">
        <v>5659</v>
      </c>
      <c r="E1314" s="84" t="s">
        <v>5660</v>
      </c>
      <c r="F1314" s="83" t="s">
        <v>5661</v>
      </c>
      <c r="G1314" s="83" t="s">
        <v>158</v>
      </c>
      <c r="H1314" s="83" t="s">
        <v>5662</v>
      </c>
    </row>
    <row r="1315" customFormat="false" ht="15" hidden="false" customHeight="false" outlineLevel="0" collapsed="false">
      <c r="A1315" s="83" t="n">
        <v>1314</v>
      </c>
      <c r="B1315" s="83" t="s">
        <v>9</v>
      </c>
      <c r="C1315" s="83" t="s">
        <v>5663</v>
      </c>
      <c r="D1315" s="83" t="s">
        <v>5664</v>
      </c>
      <c r="E1315" s="84" t="s">
        <v>5665</v>
      </c>
      <c r="F1315" s="83" t="s">
        <v>5666</v>
      </c>
      <c r="G1315" s="83" t="s">
        <v>158</v>
      </c>
      <c r="H1315" s="83" t="s">
        <v>5667</v>
      </c>
    </row>
    <row r="1316" customFormat="false" ht="15" hidden="false" customHeight="false" outlineLevel="0" collapsed="false">
      <c r="A1316" s="83" t="n">
        <v>1315</v>
      </c>
      <c r="B1316" s="83" t="s">
        <v>9</v>
      </c>
      <c r="C1316" s="83" t="s">
        <v>5668</v>
      </c>
      <c r="D1316" s="83" t="s">
        <v>5669</v>
      </c>
      <c r="E1316" s="84" t="s">
        <v>5670</v>
      </c>
      <c r="F1316" s="83" t="s">
        <v>5671</v>
      </c>
      <c r="G1316" s="83" t="s">
        <v>158</v>
      </c>
      <c r="H1316" s="83" t="s">
        <v>5672</v>
      </c>
    </row>
    <row r="1317" customFormat="false" ht="15" hidden="false" customHeight="false" outlineLevel="0" collapsed="false">
      <c r="A1317" s="83" t="n">
        <v>1316</v>
      </c>
      <c r="B1317" s="83" t="s">
        <v>9</v>
      </c>
      <c r="C1317" s="83" t="s">
        <v>5673</v>
      </c>
      <c r="D1317" s="83" t="s">
        <v>5674</v>
      </c>
      <c r="E1317" s="84" t="s">
        <v>5675</v>
      </c>
      <c r="F1317" s="83" t="s">
        <v>5676</v>
      </c>
      <c r="G1317" s="83" t="s">
        <v>158</v>
      </c>
      <c r="H1317" s="83"/>
    </row>
    <row r="1318" customFormat="false" ht="15" hidden="false" customHeight="false" outlineLevel="0" collapsed="false">
      <c r="A1318" s="83" t="n">
        <v>1317</v>
      </c>
      <c r="B1318" s="83" t="s">
        <v>9</v>
      </c>
      <c r="C1318" s="83" t="s">
        <v>5677</v>
      </c>
      <c r="D1318" s="83" t="s">
        <v>5678</v>
      </c>
      <c r="E1318" s="84" t="s">
        <v>5679</v>
      </c>
      <c r="F1318" s="83" t="s">
        <v>5680</v>
      </c>
      <c r="G1318" s="83" t="s">
        <v>158</v>
      </c>
      <c r="H1318" s="83"/>
    </row>
    <row r="1319" customFormat="false" ht="15" hidden="false" customHeight="false" outlineLevel="0" collapsed="false">
      <c r="A1319" s="83" t="n">
        <v>1318</v>
      </c>
      <c r="B1319" s="83" t="s">
        <v>9</v>
      </c>
      <c r="C1319" s="83" t="s">
        <v>5681</v>
      </c>
      <c r="D1319" s="83" t="s">
        <v>5682</v>
      </c>
      <c r="E1319" s="84" t="s">
        <v>5683</v>
      </c>
      <c r="F1319" s="83" t="s">
        <v>5684</v>
      </c>
      <c r="G1319" s="83" t="s">
        <v>158</v>
      </c>
      <c r="H1319" s="83" t="s">
        <v>5685</v>
      </c>
    </row>
    <row r="1320" customFormat="false" ht="15" hidden="false" customHeight="false" outlineLevel="0" collapsed="false">
      <c r="A1320" s="83" t="n">
        <v>1319</v>
      </c>
      <c r="B1320" s="83" t="s">
        <v>9</v>
      </c>
      <c r="C1320" s="83" t="s">
        <v>5686</v>
      </c>
      <c r="D1320" s="83" t="s">
        <v>5687</v>
      </c>
      <c r="E1320" s="84" t="s">
        <v>5688</v>
      </c>
      <c r="F1320" s="83" t="s">
        <v>5689</v>
      </c>
      <c r="G1320" s="83" t="s">
        <v>158</v>
      </c>
      <c r="H1320" s="83"/>
    </row>
    <row r="1321" customFormat="false" ht="15" hidden="false" customHeight="false" outlineLevel="0" collapsed="false">
      <c r="A1321" s="83" t="n">
        <v>1320</v>
      </c>
      <c r="B1321" s="83" t="s">
        <v>9</v>
      </c>
      <c r="C1321" s="83" t="s">
        <v>5690</v>
      </c>
      <c r="D1321" s="83" t="s">
        <v>5691</v>
      </c>
      <c r="E1321" s="84" t="s">
        <v>5692</v>
      </c>
      <c r="F1321" s="83" t="s">
        <v>881</v>
      </c>
      <c r="G1321" s="83" t="s">
        <v>158</v>
      </c>
      <c r="H1321" s="83" t="s">
        <v>5693</v>
      </c>
    </row>
    <row r="1322" customFormat="false" ht="15" hidden="false" customHeight="false" outlineLevel="0" collapsed="false">
      <c r="A1322" s="83" t="n">
        <v>1321</v>
      </c>
      <c r="B1322" s="83" t="s">
        <v>9</v>
      </c>
      <c r="C1322" s="83" t="s">
        <v>5694</v>
      </c>
      <c r="D1322" s="83" t="s">
        <v>5695</v>
      </c>
      <c r="E1322" s="84" t="s">
        <v>5696</v>
      </c>
      <c r="F1322" s="83" t="s">
        <v>5697</v>
      </c>
      <c r="G1322" s="83" t="s">
        <v>158</v>
      </c>
      <c r="H1322" s="83" t="s">
        <v>5698</v>
      </c>
    </row>
    <row r="1323" customFormat="false" ht="15" hidden="false" customHeight="false" outlineLevel="0" collapsed="false">
      <c r="A1323" s="83" t="n">
        <v>1322</v>
      </c>
      <c r="B1323" s="83" t="s">
        <v>9</v>
      </c>
      <c r="C1323" s="83" t="s">
        <v>5699</v>
      </c>
      <c r="D1323" s="83" t="s">
        <v>5700</v>
      </c>
      <c r="E1323" s="84" t="s">
        <v>5701</v>
      </c>
      <c r="F1323" s="83" t="s">
        <v>1275</v>
      </c>
      <c r="G1323" s="83" t="s">
        <v>158</v>
      </c>
      <c r="H1323" s="83" t="s">
        <v>5702</v>
      </c>
    </row>
    <row r="1324" customFormat="false" ht="15" hidden="false" customHeight="false" outlineLevel="0" collapsed="false">
      <c r="A1324" s="83" t="n">
        <v>1323</v>
      </c>
      <c r="B1324" s="83" t="s">
        <v>9</v>
      </c>
      <c r="C1324" s="83" t="s">
        <v>5703</v>
      </c>
      <c r="D1324" s="83" t="s">
        <v>5704</v>
      </c>
      <c r="E1324" s="84" t="s">
        <v>5705</v>
      </c>
      <c r="F1324" s="83" t="s">
        <v>5706</v>
      </c>
      <c r="G1324" s="83" t="s">
        <v>158</v>
      </c>
      <c r="H1324" s="83" t="s">
        <v>5707</v>
      </c>
    </row>
    <row r="1325" customFormat="false" ht="15" hidden="false" customHeight="false" outlineLevel="0" collapsed="false">
      <c r="A1325" s="83" t="n">
        <v>1324</v>
      </c>
      <c r="B1325" s="83" t="s">
        <v>9</v>
      </c>
      <c r="C1325" s="83" t="s">
        <v>5708</v>
      </c>
      <c r="D1325" s="83" t="s">
        <v>5709</v>
      </c>
      <c r="E1325" s="84" t="s">
        <v>5710</v>
      </c>
      <c r="F1325" s="83" t="s">
        <v>5711</v>
      </c>
      <c r="G1325" s="83" t="s">
        <v>158</v>
      </c>
      <c r="H1325" s="83" t="s">
        <v>5712</v>
      </c>
    </row>
    <row r="1326" customFormat="false" ht="15" hidden="false" customHeight="false" outlineLevel="0" collapsed="false">
      <c r="A1326" s="83" t="n">
        <v>1325</v>
      </c>
      <c r="B1326" s="83" t="s">
        <v>9</v>
      </c>
      <c r="C1326" s="83" t="s">
        <v>5713</v>
      </c>
      <c r="D1326" s="83" t="s">
        <v>5714</v>
      </c>
      <c r="E1326" s="84" t="s">
        <v>5715</v>
      </c>
      <c r="F1326" s="83" t="s">
        <v>5716</v>
      </c>
      <c r="G1326" s="83" t="s">
        <v>158</v>
      </c>
      <c r="H1326" s="83" t="s">
        <v>5717</v>
      </c>
    </row>
    <row r="1327" customFormat="false" ht="15" hidden="false" customHeight="false" outlineLevel="0" collapsed="false">
      <c r="A1327" s="83" t="n">
        <v>1326</v>
      </c>
      <c r="B1327" s="83" t="s">
        <v>9</v>
      </c>
      <c r="C1327" s="83" t="s">
        <v>5718</v>
      </c>
      <c r="D1327" s="83" t="s">
        <v>5719</v>
      </c>
      <c r="E1327" s="84" t="s">
        <v>5720</v>
      </c>
      <c r="F1327" s="83" t="s">
        <v>5721</v>
      </c>
      <c r="G1327" s="83" t="s">
        <v>158</v>
      </c>
      <c r="H1327" s="83"/>
    </row>
    <row r="1328" customFormat="false" ht="15" hidden="false" customHeight="false" outlineLevel="0" collapsed="false">
      <c r="A1328" s="83" t="n">
        <v>1327</v>
      </c>
      <c r="B1328" s="83" t="s">
        <v>9</v>
      </c>
      <c r="C1328" s="83" t="s">
        <v>5722</v>
      </c>
      <c r="D1328" s="83" t="s">
        <v>5723</v>
      </c>
      <c r="E1328" s="84" t="s">
        <v>5724</v>
      </c>
      <c r="F1328" s="83" t="s">
        <v>5725</v>
      </c>
      <c r="G1328" s="83" t="s">
        <v>158</v>
      </c>
      <c r="H1328" s="83" t="s">
        <v>845</v>
      </c>
    </row>
    <row r="1329" customFormat="false" ht="15" hidden="false" customHeight="false" outlineLevel="0" collapsed="false">
      <c r="A1329" s="83" t="n">
        <v>1328</v>
      </c>
      <c r="B1329" s="83" t="s">
        <v>9</v>
      </c>
      <c r="C1329" s="83" t="s">
        <v>5726</v>
      </c>
      <c r="D1329" s="83" t="s">
        <v>5727</v>
      </c>
      <c r="E1329" s="84" t="s">
        <v>5728</v>
      </c>
      <c r="F1329" s="83" t="s">
        <v>5729</v>
      </c>
      <c r="G1329" s="83" t="s">
        <v>158</v>
      </c>
      <c r="H1329" s="83" t="s">
        <v>845</v>
      </c>
    </row>
    <row r="1330" customFormat="false" ht="15" hidden="false" customHeight="false" outlineLevel="0" collapsed="false">
      <c r="A1330" s="83" t="n">
        <v>1329</v>
      </c>
      <c r="B1330" s="83" t="s">
        <v>9</v>
      </c>
      <c r="C1330" s="83" t="s">
        <v>5730</v>
      </c>
      <c r="D1330" s="83" t="s">
        <v>5731</v>
      </c>
      <c r="E1330" s="84" t="s">
        <v>5732</v>
      </c>
      <c r="F1330" s="83" t="s">
        <v>5733</v>
      </c>
      <c r="G1330" s="83" t="s">
        <v>160</v>
      </c>
      <c r="H1330" s="83"/>
    </row>
    <row r="1331" customFormat="false" ht="15" hidden="false" customHeight="false" outlineLevel="0" collapsed="false">
      <c r="A1331" s="83" t="n">
        <v>1330</v>
      </c>
      <c r="B1331" s="83" t="s">
        <v>9</v>
      </c>
      <c r="C1331" s="83" t="s">
        <v>5734</v>
      </c>
      <c r="D1331" s="83" t="s">
        <v>5735</v>
      </c>
      <c r="E1331" s="84" t="s">
        <v>5736</v>
      </c>
      <c r="F1331" s="83" t="s">
        <v>5737</v>
      </c>
      <c r="G1331" s="83" t="s">
        <v>160</v>
      </c>
      <c r="H1331" s="83" t="s">
        <v>5738</v>
      </c>
    </row>
    <row r="1332" customFormat="false" ht="15" hidden="false" customHeight="false" outlineLevel="0" collapsed="false">
      <c r="A1332" s="83" t="n">
        <v>1331</v>
      </c>
      <c r="B1332" s="83" t="s">
        <v>9</v>
      </c>
      <c r="C1332" s="83" t="s">
        <v>5739</v>
      </c>
      <c r="D1332" s="83" t="s">
        <v>5740</v>
      </c>
      <c r="E1332" s="84" t="s">
        <v>5741</v>
      </c>
      <c r="F1332" s="83" t="s">
        <v>5742</v>
      </c>
      <c r="G1332" s="83" t="s">
        <v>160</v>
      </c>
      <c r="H1332" s="83" t="s">
        <v>5743</v>
      </c>
    </row>
    <row r="1333" customFormat="false" ht="15" hidden="false" customHeight="false" outlineLevel="0" collapsed="false">
      <c r="A1333" s="83" t="n">
        <v>1332</v>
      </c>
      <c r="B1333" s="83" t="s">
        <v>9</v>
      </c>
      <c r="C1333" s="83" t="s">
        <v>5744</v>
      </c>
      <c r="D1333" s="83" t="s">
        <v>5745</v>
      </c>
      <c r="E1333" s="84" t="s">
        <v>5746</v>
      </c>
      <c r="F1333" s="83" t="s">
        <v>5747</v>
      </c>
      <c r="G1333" s="83" t="s">
        <v>160</v>
      </c>
      <c r="H1333" s="83" t="s">
        <v>5748</v>
      </c>
    </row>
    <row r="1334" customFormat="false" ht="15" hidden="false" customHeight="false" outlineLevel="0" collapsed="false">
      <c r="A1334" s="83" t="n">
        <v>1333</v>
      </c>
      <c r="B1334" s="83" t="s">
        <v>9</v>
      </c>
      <c r="C1334" s="83" t="s">
        <v>5749</v>
      </c>
      <c r="D1334" s="83" t="s">
        <v>5750</v>
      </c>
      <c r="E1334" s="84" t="s">
        <v>5736</v>
      </c>
      <c r="F1334" s="83" t="s">
        <v>5737</v>
      </c>
      <c r="G1334" s="83" t="s">
        <v>160</v>
      </c>
      <c r="H1334" s="83" t="s">
        <v>5751</v>
      </c>
    </row>
    <row r="1335" customFormat="false" ht="15" hidden="false" customHeight="false" outlineLevel="0" collapsed="false">
      <c r="A1335" s="83" t="n">
        <v>1334</v>
      </c>
      <c r="B1335" s="83" t="s">
        <v>9</v>
      </c>
      <c r="C1335" s="83" t="s">
        <v>5752</v>
      </c>
      <c r="D1335" s="83" t="s">
        <v>5753</v>
      </c>
      <c r="E1335" s="84" t="s">
        <v>5754</v>
      </c>
      <c r="F1335" s="83" t="s">
        <v>5755</v>
      </c>
      <c r="G1335" s="83" t="s">
        <v>160</v>
      </c>
      <c r="H1335" s="83" t="s">
        <v>5756</v>
      </c>
    </row>
    <row r="1336" customFormat="false" ht="15" hidden="false" customHeight="false" outlineLevel="0" collapsed="false">
      <c r="A1336" s="83" t="n">
        <v>1335</v>
      </c>
      <c r="B1336" s="83" t="s">
        <v>9</v>
      </c>
      <c r="C1336" s="83" t="s">
        <v>5757</v>
      </c>
      <c r="D1336" s="83" t="s">
        <v>5758</v>
      </c>
      <c r="E1336" s="84" t="s">
        <v>4525</v>
      </c>
      <c r="F1336" s="83" t="s">
        <v>4526</v>
      </c>
      <c r="G1336" s="83" t="s">
        <v>160</v>
      </c>
      <c r="H1336" s="83" t="s">
        <v>5759</v>
      </c>
    </row>
    <row r="1337" customFormat="false" ht="15" hidden="false" customHeight="false" outlineLevel="0" collapsed="false">
      <c r="A1337" s="83" t="n">
        <v>1336</v>
      </c>
      <c r="B1337" s="83" t="s">
        <v>9</v>
      </c>
      <c r="C1337" s="83" t="s">
        <v>5760</v>
      </c>
      <c r="D1337" s="83" t="s">
        <v>5761</v>
      </c>
      <c r="E1337" s="84" t="s">
        <v>5762</v>
      </c>
      <c r="F1337" s="83" t="s">
        <v>5763</v>
      </c>
      <c r="G1337" s="83" t="s">
        <v>160</v>
      </c>
      <c r="H1337" s="83" t="s">
        <v>5764</v>
      </c>
    </row>
    <row r="1338" customFormat="false" ht="15" hidden="false" customHeight="false" outlineLevel="0" collapsed="false">
      <c r="A1338" s="83" t="n">
        <v>1337</v>
      </c>
      <c r="B1338" s="83" t="s">
        <v>9</v>
      </c>
      <c r="C1338" s="83" t="s">
        <v>5765</v>
      </c>
      <c r="D1338" s="83" t="s">
        <v>5766</v>
      </c>
      <c r="E1338" s="84" t="s">
        <v>5767</v>
      </c>
      <c r="F1338" s="83" t="s">
        <v>5768</v>
      </c>
      <c r="G1338" s="83" t="s">
        <v>160</v>
      </c>
      <c r="H1338" s="83" t="s">
        <v>5769</v>
      </c>
    </row>
    <row r="1339" customFormat="false" ht="15" hidden="false" customHeight="false" outlineLevel="0" collapsed="false">
      <c r="A1339" s="83" t="n">
        <v>1338</v>
      </c>
      <c r="B1339" s="83" t="s">
        <v>9</v>
      </c>
      <c r="C1339" s="83" t="s">
        <v>5770</v>
      </c>
      <c r="D1339" s="83" t="s">
        <v>5771</v>
      </c>
      <c r="E1339" s="84" t="s">
        <v>5772</v>
      </c>
      <c r="F1339" s="83" t="s">
        <v>5773</v>
      </c>
      <c r="G1339" s="83" t="s">
        <v>160</v>
      </c>
      <c r="H1339" s="83" t="s">
        <v>5774</v>
      </c>
    </row>
    <row r="1340" customFormat="false" ht="15" hidden="false" customHeight="false" outlineLevel="0" collapsed="false">
      <c r="A1340" s="83" t="n">
        <v>1339</v>
      </c>
      <c r="B1340" s="83" t="s">
        <v>9</v>
      </c>
      <c r="C1340" s="83" t="s">
        <v>5775</v>
      </c>
      <c r="D1340" s="83" t="s">
        <v>5776</v>
      </c>
      <c r="E1340" s="84" t="s">
        <v>5777</v>
      </c>
      <c r="F1340" s="83" t="s">
        <v>5778</v>
      </c>
      <c r="G1340" s="83" t="s">
        <v>160</v>
      </c>
      <c r="H1340" s="83" t="s">
        <v>5779</v>
      </c>
    </row>
    <row r="1341" customFormat="false" ht="15" hidden="false" customHeight="false" outlineLevel="0" collapsed="false">
      <c r="A1341" s="83" t="n">
        <v>1340</v>
      </c>
      <c r="B1341" s="83" t="s">
        <v>9</v>
      </c>
      <c r="C1341" s="83" t="s">
        <v>5780</v>
      </c>
      <c r="D1341" s="83" t="s">
        <v>5781</v>
      </c>
      <c r="E1341" s="84" t="s">
        <v>5782</v>
      </c>
      <c r="F1341" s="83" t="s">
        <v>5783</v>
      </c>
      <c r="G1341" s="83" t="s">
        <v>160</v>
      </c>
      <c r="H1341" s="83"/>
    </row>
    <row r="1342" customFormat="false" ht="15" hidden="false" customHeight="false" outlineLevel="0" collapsed="false">
      <c r="A1342" s="83" t="n">
        <v>1341</v>
      </c>
      <c r="B1342" s="83" t="s">
        <v>9</v>
      </c>
      <c r="C1342" s="83" t="s">
        <v>5784</v>
      </c>
      <c r="D1342" s="83" t="s">
        <v>5785</v>
      </c>
      <c r="E1342" s="84" t="s">
        <v>5786</v>
      </c>
      <c r="F1342" s="83" t="s">
        <v>5787</v>
      </c>
      <c r="G1342" s="83" t="s">
        <v>160</v>
      </c>
      <c r="H1342" s="83" t="s">
        <v>5788</v>
      </c>
    </row>
    <row r="1343" customFormat="false" ht="15" hidden="false" customHeight="false" outlineLevel="0" collapsed="false">
      <c r="A1343" s="83" t="n">
        <v>1342</v>
      </c>
      <c r="B1343" s="83" t="s">
        <v>9</v>
      </c>
      <c r="C1343" s="83" t="s">
        <v>5789</v>
      </c>
      <c r="D1343" s="83" t="s">
        <v>5790</v>
      </c>
      <c r="E1343" s="84" t="s">
        <v>5791</v>
      </c>
      <c r="F1343" s="83" t="s">
        <v>5792</v>
      </c>
      <c r="G1343" s="83" t="s">
        <v>160</v>
      </c>
      <c r="H1343" s="83" t="s">
        <v>5793</v>
      </c>
    </row>
    <row r="1344" customFormat="false" ht="15" hidden="false" customHeight="false" outlineLevel="0" collapsed="false">
      <c r="A1344" s="83" t="n">
        <v>1343</v>
      </c>
      <c r="B1344" s="83" t="s">
        <v>9</v>
      </c>
      <c r="C1344" s="83" t="s">
        <v>5794</v>
      </c>
      <c r="D1344" s="83" t="s">
        <v>5795</v>
      </c>
      <c r="E1344" s="84" t="s">
        <v>5796</v>
      </c>
      <c r="F1344" s="83" t="s">
        <v>5797</v>
      </c>
      <c r="G1344" s="83" t="s">
        <v>160</v>
      </c>
      <c r="H1344" s="83" t="s">
        <v>845</v>
      </c>
    </row>
    <row r="1345" customFormat="false" ht="15" hidden="false" customHeight="false" outlineLevel="0" collapsed="false">
      <c r="A1345" s="83" t="n">
        <v>1344</v>
      </c>
      <c r="B1345" s="83" t="s">
        <v>9</v>
      </c>
      <c r="C1345" s="83" t="s">
        <v>5798</v>
      </c>
      <c r="D1345" s="83" t="s">
        <v>5799</v>
      </c>
      <c r="E1345" s="84" t="s">
        <v>5800</v>
      </c>
      <c r="F1345" s="83" t="s">
        <v>5801</v>
      </c>
      <c r="G1345" s="83" t="s">
        <v>160</v>
      </c>
      <c r="H1345" s="83"/>
    </row>
    <row r="1346" customFormat="false" ht="15" hidden="false" customHeight="false" outlineLevel="0" collapsed="false">
      <c r="A1346" s="83" t="n">
        <v>1345</v>
      </c>
      <c r="B1346" s="83" t="s">
        <v>9</v>
      </c>
      <c r="C1346" s="83" t="s">
        <v>5802</v>
      </c>
      <c r="D1346" s="83" t="s">
        <v>5803</v>
      </c>
      <c r="E1346" s="84" t="s">
        <v>5804</v>
      </c>
      <c r="F1346" s="83" t="s">
        <v>5805</v>
      </c>
      <c r="G1346" s="83" t="s">
        <v>160</v>
      </c>
      <c r="H1346" s="83"/>
    </row>
    <row r="1347" customFormat="false" ht="15" hidden="false" customHeight="false" outlineLevel="0" collapsed="false">
      <c r="A1347" s="83" t="n">
        <v>1346</v>
      </c>
      <c r="B1347" s="83" t="s">
        <v>9</v>
      </c>
      <c r="C1347" s="83" t="s">
        <v>5806</v>
      </c>
      <c r="D1347" s="83" t="s">
        <v>5807</v>
      </c>
      <c r="E1347" s="84" t="s">
        <v>5808</v>
      </c>
      <c r="F1347" s="83" t="s">
        <v>5809</v>
      </c>
      <c r="G1347" s="83" t="s">
        <v>160</v>
      </c>
      <c r="H1347" s="83"/>
    </row>
    <row r="1348" customFormat="false" ht="15" hidden="false" customHeight="false" outlineLevel="0" collapsed="false">
      <c r="A1348" s="83" t="n">
        <v>1347</v>
      </c>
      <c r="B1348" s="83" t="s">
        <v>9</v>
      </c>
      <c r="C1348" s="83" t="s">
        <v>5810</v>
      </c>
      <c r="D1348" s="83" t="s">
        <v>5811</v>
      </c>
      <c r="E1348" s="84" t="s">
        <v>5812</v>
      </c>
      <c r="F1348" s="83" t="s">
        <v>5813</v>
      </c>
      <c r="G1348" s="83" t="s">
        <v>160</v>
      </c>
      <c r="H1348" s="83"/>
    </row>
    <row r="1349" customFormat="false" ht="15" hidden="false" customHeight="false" outlineLevel="0" collapsed="false">
      <c r="A1349" s="83" t="n">
        <v>1348</v>
      </c>
      <c r="B1349" s="83" t="s">
        <v>9</v>
      </c>
      <c r="C1349" s="83" t="s">
        <v>5814</v>
      </c>
      <c r="D1349" s="83" t="s">
        <v>5815</v>
      </c>
      <c r="E1349" s="84" t="s">
        <v>5816</v>
      </c>
      <c r="F1349" s="83" t="s">
        <v>5817</v>
      </c>
      <c r="G1349" s="83" t="s">
        <v>160</v>
      </c>
      <c r="H1349" s="83" t="s">
        <v>845</v>
      </c>
    </row>
    <row r="1350" customFormat="false" ht="15" hidden="false" customHeight="false" outlineLevel="0" collapsed="false">
      <c r="A1350" s="83" t="n">
        <v>1349</v>
      </c>
      <c r="B1350" s="83" t="s">
        <v>9</v>
      </c>
      <c r="C1350" s="83" t="s">
        <v>5818</v>
      </c>
      <c r="D1350" s="83" t="s">
        <v>5818</v>
      </c>
      <c r="E1350" s="83" t="s">
        <v>5819</v>
      </c>
      <c r="F1350" s="83" t="s">
        <v>5820</v>
      </c>
      <c r="G1350" s="83" t="s">
        <v>162</v>
      </c>
      <c r="H1350" s="83"/>
    </row>
    <row r="1351" customFormat="false" ht="15" hidden="false" customHeight="false" outlineLevel="0" collapsed="false">
      <c r="A1351" s="83" t="n">
        <v>1350</v>
      </c>
      <c r="B1351" s="83" t="s">
        <v>9</v>
      </c>
      <c r="C1351" s="83" t="s">
        <v>5821</v>
      </c>
      <c r="D1351" s="83" t="s">
        <v>5822</v>
      </c>
      <c r="E1351" s="84" t="s">
        <v>5823</v>
      </c>
      <c r="F1351" s="83" t="s">
        <v>5824</v>
      </c>
      <c r="G1351" s="83" t="s">
        <v>162</v>
      </c>
      <c r="H1351" s="83" t="s">
        <v>5825</v>
      </c>
    </row>
    <row r="1352" customFormat="false" ht="15" hidden="false" customHeight="false" outlineLevel="0" collapsed="false">
      <c r="A1352" s="83" t="n">
        <v>1351</v>
      </c>
      <c r="B1352" s="83" t="s">
        <v>9</v>
      </c>
      <c r="C1352" s="83" t="s">
        <v>5826</v>
      </c>
      <c r="D1352" s="83" t="s">
        <v>5827</v>
      </c>
      <c r="E1352" s="84" t="s">
        <v>5828</v>
      </c>
      <c r="F1352" s="83" t="s">
        <v>5829</v>
      </c>
      <c r="G1352" s="83" t="s">
        <v>162</v>
      </c>
      <c r="H1352" s="83"/>
    </row>
    <row r="1353" customFormat="false" ht="15" hidden="false" customHeight="false" outlineLevel="0" collapsed="false">
      <c r="A1353" s="83" t="n">
        <v>1352</v>
      </c>
      <c r="B1353" s="83" t="s">
        <v>9</v>
      </c>
      <c r="C1353" s="83" t="s">
        <v>5830</v>
      </c>
      <c r="D1353" s="83" t="s">
        <v>5831</v>
      </c>
      <c r="E1353" s="84" t="s">
        <v>5832</v>
      </c>
      <c r="F1353" s="83" t="s">
        <v>5833</v>
      </c>
      <c r="G1353" s="83" t="s">
        <v>162</v>
      </c>
      <c r="H1353" s="83" t="s">
        <v>5834</v>
      </c>
    </row>
    <row r="1354" customFormat="false" ht="15" hidden="false" customHeight="false" outlineLevel="0" collapsed="false">
      <c r="A1354" s="83" t="n">
        <v>1353</v>
      </c>
      <c r="B1354" s="83" t="s">
        <v>9</v>
      </c>
      <c r="C1354" s="83" t="s">
        <v>5835</v>
      </c>
      <c r="D1354" s="83" t="s">
        <v>5836</v>
      </c>
      <c r="E1354" s="84" t="s">
        <v>5837</v>
      </c>
      <c r="F1354" s="83" t="s">
        <v>5838</v>
      </c>
      <c r="G1354" s="83" t="s">
        <v>162</v>
      </c>
      <c r="H1354" s="83" t="s">
        <v>845</v>
      </c>
    </row>
    <row r="1355" customFormat="false" ht="15" hidden="false" customHeight="false" outlineLevel="0" collapsed="false">
      <c r="A1355" s="83" t="n">
        <v>1354</v>
      </c>
      <c r="B1355" s="83" t="s">
        <v>9</v>
      </c>
      <c r="C1355" s="83" t="s">
        <v>5839</v>
      </c>
      <c r="D1355" s="83" t="s">
        <v>5840</v>
      </c>
      <c r="E1355" s="84" t="s">
        <v>5841</v>
      </c>
      <c r="F1355" s="83" t="s">
        <v>5842</v>
      </c>
      <c r="G1355" s="83" t="s">
        <v>162</v>
      </c>
      <c r="H1355" s="83" t="s">
        <v>5843</v>
      </c>
    </row>
    <row r="1356" customFormat="false" ht="15" hidden="false" customHeight="false" outlineLevel="0" collapsed="false">
      <c r="A1356" s="83" t="n">
        <v>1355</v>
      </c>
      <c r="B1356" s="83" t="s">
        <v>9</v>
      </c>
      <c r="C1356" s="83" t="s">
        <v>5844</v>
      </c>
      <c r="D1356" s="83" t="s">
        <v>5845</v>
      </c>
      <c r="E1356" s="84" t="s">
        <v>5846</v>
      </c>
      <c r="F1356" s="83" t="s">
        <v>5847</v>
      </c>
      <c r="G1356" s="83" t="s">
        <v>162</v>
      </c>
      <c r="H1356" s="83" t="s">
        <v>5848</v>
      </c>
    </row>
    <row r="1357" customFormat="false" ht="15" hidden="false" customHeight="false" outlineLevel="0" collapsed="false">
      <c r="A1357" s="83" t="n">
        <v>1356</v>
      </c>
      <c r="B1357" s="83" t="s">
        <v>9</v>
      </c>
      <c r="C1357" s="83" t="s">
        <v>5849</v>
      </c>
      <c r="D1357" s="83" t="s">
        <v>5850</v>
      </c>
      <c r="E1357" s="84" t="s">
        <v>5851</v>
      </c>
      <c r="F1357" s="83" t="s">
        <v>5852</v>
      </c>
      <c r="G1357" s="83" t="s">
        <v>162</v>
      </c>
      <c r="H1357" s="83" t="s">
        <v>5853</v>
      </c>
    </row>
    <row r="1358" customFormat="false" ht="15" hidden="false" customHeight="false" outlineLevel="0" collapsed="false">
      <c r="A1358" s="83" t="n">
        <v>1357</v>
      </c>
      <c r="B1358" s="83" t="s">
        <v>9</v>
      </c>
      <c r="C1358" s="83" t="s">
        <v>5854</v>
      </c>
      <c r="D1358" s="83" t="s">
        <v>5855</v>
      </c>
      <c r="E1358" s="84" t="s">
        <v>5856</v>
      </c>
      <c r="F1358" s="83" t="s">
        <v>5857</v>
      </c>
      <c r="G1358" s="83" t="s">
        <v>162</v>
      </c>
      <c r="H1358" s="83" t="s">
        <v>845</v>
      </c>
    </row>
    <row r="1359" customFormat="false" ht="15" hidden="false" customHeight="false" outlineLevel="0" collapsed="false">
      <c r="A1359" s="83" t="n">
        <v>1358</v>
      </c>
      <c r="B1359" s="83" t="s">
        <v>9</v>
      </c>
      <c r="C1359" s="83" t="s">
        <v>5858</v>
      </c>
      <c r="D1359" s="83" t="s">
        <v>5859</v>
      </c>
      <c r="E1359" s="84" t="s">
        <v>5860</v>
      </c>
      <c r="F1359" s="83" t="s">
        <v>5861</v>
      </c>
      <c r="G1359" s="83" t="s">
        <v>162</v>
      </c>
      <c r="H1359" s="83"/>
    </row>
    <row r="1360" customFormat="false" ht="15" hidden="false" customHeight="false" outlineLevel="0" collapsed="false">
      <c r="A1360" s="83" t="n">
        <v>1359</v>
      </c>
      <c r="B1360" s="83" t="s">
        <v>9</v>
      </c>
      <c r="C1360" s="83" t="s">
        <v>5862</v>
      </c>
      <c r="D1360" s="83" t="s">
        <v>5863</v>
      </c>
      <c r="E1360" s="84" t="s">
        <v>5864</v>
      </c>
      <c r="F1360" s="83" t="s">
        <v>5865</v>
      </c>
      <c r="G1360" s="83" t="s">
        <v>162</v>
      </c>
      <c r="H1360" s="83" t="s">
        <v>5866</v>
      </c>
    </row>
    <row r="1361" customFormat="false" ht="15" hidden="false" customHeight="false" outlineLevel="0" collapsed="false">
      <c r="A1361" s="83" t="n">
        <v>1360</v>
      </c>
      <c r="B1361" s="83" t="s">
        <v>9</v>
      </c>
      <c r="C1361" s="83" t="s">
        <v>5867</v>
      </c>
      <c r="D1361" s="83" t="s">
        <v>5868</v>
      </c>
      <c r="E1361" s="84" t="s">
        <v>5869</v>
      </c>
      <c r="F1361" s="83" t="s">
        <v>5870</v>
      </c>
      <c r="G1361" s="83" t="s">
        <v>162</v>
      </c>
      <c r="H1361" s="83" t="s">
        <v>5871</v>
      </c>
    </row>
    <row r="1362" customFormat="false" ht="15" hidden="false" customHeight="false" outlineLevel="0" collapsed="false">
      <c r="A1362" s="83" t="n">
        <v>1361</v>
      </c>
      <c r="B1362" s="83" t="s">
        <v>9</v>
      </c>
      <c r="C1362" s="83" t="s">
        <v>5872</v>
      </c>
      <c r="D1362" s="83" t="s">
        <v>5873</v>
      </c>
      <c r="E1362" s="84" t="s">
        <v>5874</v>
      </c>
      <c r="F1362" s="83" t="s">
        <v>5875</v>
      </c>
      <c r="G1362" s="83" t="s">
        <v>162</v>
      </c>
      <c r="H1362" s="83"/>
    </row>
    <row r="1363" customFormat="false" ht="15" hidden="false" customHeight="false" outlineLevel="0" collapsed="false">
      <c r="A1363" s="83" t="n">
        <v>1362</v>
      </c>
      <c r="B1363" s="83" t="s">
        <v>9</v>
      </c>
      <c r="C1363" s="83" t="s">
        <v>5876</v>
      </c>
      <c r="D1363" s="83" t="s">
        <v>5877</v>
      </c>
      <c r="E1363" s="84" t="s">
        <v>5878</v>
      </c>
      <c r="F1363" s="83" t="s">
        <v>5879</v>
      </c>
      <c r="G1363" s="83" t="s">
        <v>162</v>
      </c>
      <c r="H1363" s="83"/>
    </row>
    <row r="1364" customFormat="false" ht="15" hidden="false" customHeight="false" outlineLevel="0" collapsed="false">
      <c r="A1364" s="83" t="n">
        <v>1363</v>
      </c>
      <c r="B1364" s="83" t="s">
        <v>9</v>
      </c>
      <c r="C1364" s="83" t="s">
        <v>5880</v>
      </c>
      <c r="D1364" s="83" t="s">
        <v>5881</v>
      </c>
      <c r="E1364" s="84" t="s">
        <v>5882</v>
      </c>
      <c r="F1364" s="83" t="s">
        <v>5883</v>
      </c>
      <c r="G1364" s="83" t="s">
        <v>162</v>
      </c>
      <c r="H1364" s="83"/>
    </row>
    <row r="1365" customFormat="false" ht="15" hidden="false" customHeight="false" outlineLevel="0" collapsed="false">
      <c r="A1365" s="83" t="n">
        <v>1364</v>
      </c>
      <c r="B1365" s="83" t="s">
        <v>9</v>
      </c>
      <c r="C1365" s="83" t="s">
        <v>5884</v>
      </c>
      <c r="D1365" s="83" t="s">
        <v>5885</v>
      </c>
      <c r="E1365" s="84" t="s">
        <v>5886</v>
      </c>
      <c r="F1365" s="83" t="s">
        <v>5887</v>
      </c>
      <c r="G1365" s="83" t="s">
        <v>162</v>
      </c>
      <c r="H1365" s="83" t="s">
        <v>845</v>
      </c>
    </row>
    <row r="1366" customFormat="false" ht="15" hidden="false" customHeight="false" outlineLevel="0" collapsed="false">
      <c r="A1366" s="83" t="n">
        <v>1365</v>
      </c>
      <c r="B1366" s="83" t="s">
        <v>9</v>
      </c>
      <c r="C1366" s="83" t="s">
        <v>5888</v>
      </c>
      <c r="D1366" s="83" t="s">
        <v>5889</v>
      </c>
      <c r="E1366" s="84" t="s">
        <v>5890</v>
      </c>
      <c r="F1366" s="83" t="s">
        <v>5891</v>
      </c>
      <c r="G1366" s="83" t="s">
        <v>164</v>
      </c>
      <c r="H1366" s="83"/>
    </row>
    <row r="1367" customFormat="false" ht="15" hidden="false" customHeight="false" outlineLevel="0" collapsed="false">
      <c r="A1367" s="83" t="n">
        <v>1366</v>
      </c>
      <c r="B1367" s="83" t="s">
        <v>9</v>
      </c>
      <c r="C1367" s="83" t="s">
        <v>5892</v>
      </c>
      <c r="D1367" s="83" t="s">
        <v>5893</v>
      </c>
      <c r="E1367" s="84" t="s">
        <v>5894</v>
      </c>
      <c r="F1367" s="83" t="s">
        <v>5895</v>
      </c>
      <c r="G1367" s="83" t="s">
        <v>164</v>
      </c>
      <c r="H1367" s="83" t="s">
        <v>5896</v>
      </c>
    </row>
    <row r="1368" customFormat="false" ht="15" hidden="false" customHeight="false" outlineLevel="0" collapsed="false">
      <c r="A1368" s="83" t="n">
        <v>1367</v>
      </c>
      <c r="B1368" s="83" t="s">
        <v>9</v>
      </c>
      <c r="C1368" s="83" t="s">
        <v>5897</v>
      </c>
      <c r="D1368" s="83" t="s">
        <v>5898</v>
      </c>
      <c r="E1368" s="83" t="s">
        <v>5899</v>
      </c>
      <c r="F1368" s="83" t="s">
        <v>5900</v>
      </c>
      <c r="G1368" s="83" t="s">
        <v>164</v>
      </c>
      <c r="H1368" s="83" t="s">
        <v>5901</v>
      </c>
    </row>
    <row r="1369" customFormat="false" ht="15" hidden="false" customHeight="false" outlineLevel="0" collapsed="false">
      <c r="A1369" s="83" t="n">
        <v>1368</v>
      </c>
      <c r="B1369" s="83" t="s">
        <v>9</v>
      </c>
      <c r="C1369" s="83" t="s">
        <v>5902</v>
      </c>
      <c r="D1369" s="83" t="s">
        <v>5903</v>
      </c>
      <c r="E1369" s="84" t="s">
        <v>5904</v>
      </c>
      <c r="F1369" s="83" t="s">
        <v>5905</v>
      </c>
      <c r="G1369" s="83" t="s">
        <v>164</v>
      </c>
      <c r="H1369" s="83" t="s">
        <v>5906</v>
      </c>
    </row>
    <row r="1370" customFormat="false" ht="15" hidden="false" customHeight="false" outlineLevel="0" collapsed="false">
      <c r="A1370" s="83" t="n">
        <v>1369</v>
      </c>
      <c r="B1370" s="83" t="s">
        <v>9</v>
      </c>
      <c r="C1370" s="83" t="s">
        <v>5907</v>
      </c>
      <c r="D1370" s="83" t="s">
        <v>5908</v>
      </c>
      <c r="E1370" s="84" t="s">
        <v>5909</v>
      </c>
      <c r="F1370" s="83" t="s">
        <v>5910</v>
      </c>
      <c r="G1370" s="83" t="s">
        <v>164</v>
      </c>
      <c r="H1370" s="83" t="s">
        <v>5911</v>
      </c>
    </row>
    <row r="1371" customFormat="false" ht="15" hidden="false" customHeight="false" outlineLevel="0" collapsed="false">
      <c r="A1371" s="83" t="n">
        <v>1370</v>
      </c>
      <c r="B1371" s="83" t="s">
        <v>9</v>
      </c>
      <c r="C1371" s="83" t="s">
        <v>5912</v>
      </c>
      <c r="D1371" s="83" t="s">
        <v>5913</v>
      </c>
      <c r="E1371" s="84" t="s">
        <v>5914</v>
      </c>
      <c r="F1371" s="83" t="s">
        <v>5915</v>
      </c>
      <c r="G1371" s="83" t="s">
        <v>164</v>
      </c>
      <c r="H1371" s="83" t="s">
        <v>5916</v>
      </c>
    </row>
    <row r="1372" customFormat="false" ht="15" hidden="false" customHeight="false" outlineLevel="0" collapsed="false">
      <c r="A1372" s="83" t="n">
        <v>1371</v>
      </c>
      <c r="B1372" s="83" t="s">
        <v>9</v>
      </c>
      <c r="C1372" s="83" t="s">
        <v>5917</v>
      </c>
      <c r="D1372" s="83" t="s">
        <v>5918</v>
      </c>
      <c r="E1372" s="84" t="s">
        <v>5919</v>
      </c>
      <c r="F1372" s="83" t="s">
        <v>5920</v>
      </c>
      <c r="G1372" s="83" t="s">
        <v>164</v>
      </c>
      <c r="H1372" s="83" t="s">
        <v>5921</v>
      </c>
    </row>
    <row r="1373" customFormat="false" ht="15" hidden="false" customHeight="false" outlineLevel="0" collapsed="false">
      <c r="A1373" s="83" t="n">
        <v>1372</v>
      </c>
      <c r="B1373" s="83" t="s">
        <v>9</v>
      </c>
      <c r="C1373" s="83" t="s">
        <v>5922</v>
      </c>
      <c r="D1373" s="83" t="s">
        <v>5923</v>
      </c>
      <c r="E1373" s="84" t="s">
        <v>5924</v>
      </c>
      <c r="F1373" s="83" t="s">
        <v>5925</v>
      </c>
      <c r="G1373" s="83" t="s">
        <v>164</v>
      </c>
      <c r="H1373" s="83" t="s">
        <v>5926</v>
      </c>
    </row>
    <row r="1374" customFormat="false" ht="15" hidden="false" customHeight="false" outlineLevel="0" collapsed="false">
      <c r="A1374" s="83" t="n">
        <v>1373</v>
      </c>
      <c r="B1374" s="83" t="s">
        <v>9</v>
      </c>
      <c r="C1374" s="83" t="s">
        <v>5927</v>
      </c>
      <c r="D1374" s="83" t="s">
        <v>5928</v>
      </c>
      <c r="E1374" s="84" t="s">
        <v>5929</v>
      </c>
      <c r="F1374" s="83" t="s">
        <v>5930</v>
      </c>
      <c r="G1374" s="83" t="s">
        <v>164</v>
      </c>
      <c r="H1374" s="83" t="s">
        <v>5299</v>
      </c>
    </row>
    <row r="1375" customFormat="false" ht="15" hidden="false" customHeight="false" outlineLevel="0" collapsed="false">
      <c r="A1375" s="83" t="n">
        <v>1374</v>
      </c>
      <c r="B1375" s="83" t="s">
        <v>9</v>
      </c>
      <c r="C1375" s="83" t="s">
        <v>4463</v>
      </c>
      <c r="D1375" s="83" t="s">
        <v>5931</v>
      </c>
      <c r="E1375" s="84" t="s">
        <v>5932</v>
      </c>
      <c r="F1375" s="83" t="s">
        <v>5933</v>
      </c>
      <c r="G1375" s="83" t="s">
        <v>164</v>
      </c>
      <c r="H1375" s="83"/>
    </row>
    <row r="1376" customFormat="false" ht="15" hidden="false" customHeight="false" outlineLevel="0" collapsed="false">
      <c r="A1376" s="83" t="n">
        <v>1375</v>
      </c>
      <c r="B1376" s="83" t="s">
        <v>9</v>
      </c>
      <c r="C1376" s="83" t="s">
        <v>5934</v>
      </c>
      <c r="D1376" s="83" t="s">
        <v>5934</v>
      </c>
      <c r="E1376" s="84" t="s">
        <v>5935</v>
      </c>
      <c r="F1376" s="83" t="s">
        <v>5936</v>
      </c>
      <c r="G1376" s="83" t="s">
        <v>164</v>
      </c>
      <c r="H1376" s="83" t="s">
        <v>5937</v>
      </c>
    </row>
    <row r="1377" customFormat="false" ht="15" hidden="false" customHeight="false" outlineLevel="0" collapsed="false">
      <c r="A1377" s="83" t="n">
        <v>1376</v>
      </c>
      <c r="B1377" s="83" t="s">
        <v>9</v>
      </c>
      <c r="C1377" s="83" t="s">
        <v>5938</v>
      </c>
      <c r="D1377" s="83" t="s">
        <v>5939</v>
      </c>
      <c r="E1377" s="84" t="s">
        <v>5940</v>
      </c>
      <c r="F1377" s="83" t="s">
        <v>5941</v>
      </c>
      <c r="G1377" s="83" t="s">
        <v>164</v>
      </c>
      <c r="H1377" s="83"/>
    </row>
    <row r="1378" customFormat="false" ht="15" hidden="false" customHeight="false" outlineLevel="0" collapsed="false">
      <c r="A1378" s="83" t="n">
        <v>1377</v>
      </c>
      <c r="B1378" s="83" t="s">
        <v>9</v>
      </c>
      <c r="C1378" s="83" t="s">
        <v>5942</v>
      </c>
      <c r="D1378" s="83" t="s">
        <v>5943</v>
      </c>
      <c r="E1378" s="84" t="s">
        <v>5944</v>
      </c>
      <c r="F1378" s="83" t="s">
        <v>5945</v>
      </c>
      <c r="G1378" s="83" t="s">
        <v>164</v>
      </c>
      <c r="H1378" s="83" t="s">
        <v>5946</v>
      </c>
    </row>
    <row r="1379" customFormat="false" ht="15" hidden="false" customHeight="false" outlineLevel="0" collapsed="false">
      <c r="A1379" s="83" t="n">
        <v>1378</v>
      </c>
      <c r="B1379" s="83" t="s">
        <v>9</v>
      </c>
      <c r="C1379" s="83" t="s">
        <v>5947</v>
      </c>
      <c r="D1379" s="83" t="s">
        <v>5948</v>
      </c>
      <c r="E1379" s="84" t="s">
        <v>5949</v>
      </c>
      <c r="F1379" s="83" t="s">
        <v>5950</v>
      </c>
      <c r="G1379" s="83" t="s">
        <v>164</v>
      </c>
      <c r="H1379" s="83" t="s">
        <v>5951</v>
      </c>
    </row>
    <row r="1380" customFormat="false" ht="15" hidden="false" customHeight="false" outlineLevel="0" collapsed="false">
      <c r="A1380" s="83" t="n">
        <v>1379</v>
      </c>
      <c r="B1380" s="83" t="s">
        <v>9</v>
      </c>
      <c r="C1380" s="83" t="s">
        <v>5952</v>
      </c>
      <c r="D1380" s="83" t="s">
        <v>5953</v>
      </c>
      <c r="E1380" s="84" t="s">
        <v>5954</v>
      </c>
      <c r="F1380" s="83" t="s">
        <v>5955</v>
      </c>
      <c r="G1380" s="83" t="s">
        <v>164</v>
      </c>
      <c r="H1380" s="83" t="s">
        <v>5956</v>
      </c>
    </row>
    <row r="1381" customFormat="false" ht="15" hidden="false" customHeight="false" outlineLevel="0" collapsed="false">
      <c r="A1381" s="83" t="n">
        <v>1380</v>
      </c>
      <c r="B1381" s="83" t="s">
        <v>9</v>
      </c>
      <c r="C1381" s="83" t="s">
        <v>5957</v>
      </c>
      <c r="D1381" s="83" t="s">
        <v>5958</v>
      </c>
      <c r="E1381" s="84" t="s">
        <v>5959</v>
      </c>
      <c r="F1381" s="83" t="s">
        <v>5960</v>
      </c>
      <c r="G1381" s="83" t="s">
        <v>164</v>
      </c>
      <c r="H1381" s="83"/>
    </row>
    <row r="1382" customFormat="false" ht="15" hidden="false" customHeight="false" outlineLevel="0" collapsed="false">
      <c r="A1382" s="83" t="n">
        <v>1381</v>
      </c>
      <c r="B1382" s="83" t="s">
        <v>9</v>
      </c>
      <c r="C1382" s="83" t="s">
        <v>5961</v>
      </c>
      <c r="D1382" s="83" t="s">
        <v>5962</v>
      </c>
      <c r="E1382" s="84" t="s">
        <v>3471</v>
      </c>
      <c r="F1382" s="83" t="s">
        <v>3472</v>
      </c>
      <c r="G1382" s="83" t="s">
        <v>164</v>
      </c>
      <c r="H1382" s="83"/>
    </row>
    <row r="1383" customFormat="false" ht="15" hidden="false" customHeight="false" outlineLevel="0" collapsed="false">
      <c r="A1383" s="83" t="n">
        <v>1382</v>
      </c>
      <c r="B1383" s="83" t="s">
        <v>9</v>
      </c>
      <c r="C1383" s="83" t="s">
        <v>5963</v>
      </c>
      <c r="D1383" s="83" t="s">
        <v>5964</v>
      </c>
      <c r="E1383" s="84" t="s">
        <v>5965</v>
      </c>
      <c r="F1383" s="83" t="s">
        <v>5966</v>
      </c>
      <c r="G1383" s="83" t="s">
        <v>164</v>
      </c>
      <c r="H1383" s="83"/>
    </row>
    <row r="1384" customFormat="false" ht="15" hidden="false" customHeight="false" outlineLevel="0" collapsed="false">
      <c r="A1384" s="83" t="n">
        <v>1383</v>
      </c>
      <c r="B1384" s="83" t="s">
        <v>9</v>
      </c>
      <c r="C1384" s="83" t="s">
        <v>5967</v>
      </c>
      <c r="D1384" s="83" t="s">
        <v>5968</v>
      </c>
      <c r="E1384" s="84" t="s">
        <v>3571</v>
      </c>
      <c r="F1384" s="83" t="s">
        <v>3572</v>
      </c>
      <c r="G1384" s="83" t="s">
        <v>164</v>
      </c>
      <c r="H1384" s="83"/>
    </row>
    <row r="1385" customFormat="false" ht="15" hidden="false" customHeight="false" outlineLevel="0" collapsed="false">
      <c r="A1385" s="83" t="n">
        <v>1384</v>
      </c>
      <c r="B1385" s="83" t="s">
        <v>9</v>
      </c>
      <c r="C1385" s="83" t="s">
        <v>5969</v>
      </c>
      <c r="D1385" s="83" t="s">
        <v>5970</v>
      </c>
      <c r="E1385" s="84" t="s">
        <v>5971</v>
      </c>
      <c r="F1385" s="83" t="s">
        <v>5972</v>
      </c>
      <c r="G1385" s="83" t="s">
        <v>164</v>
      </c>
      <c r="H1385" s="83"/>
    </row>
    <row r="1386" customFormat="false" ht="15" hidden="false" customHeight="false" outlineLevel="0" collapsed="false">
      <c r="A1386" s="83" t="n">
        <v>1385</v>
      </c>
      <c r="B1386" s="83" t="s">
        <v>9</v>
      </c>
      <c r="C1386" s="83" t="s">
        <v>5973</v>
      </c>
      <c r="D1386" s="83" t="s">
        <v>5974</v>
      </c>
      <c r="E1386" s="84" t="s">
        <v>5975</v>
      </c>
      <c r="F1386" s="83" t="s">
        <v>5976</v>
      </c>
      <c r="G1386" s="83" t="s">
        <v>166</v>
      </c>
      <c r="H1386" s="83"/>
    </row>
    <row r="1387" customFormat="false" ht="15" hidden="false" customHeight="false" outlineLevel="0" collapsed="false">
      <c r="A1387" s="83" t="n">
        <v>1386</v>
      </c>
      <c r="B1387" s="83" t="s">
        <v>9</v>
      </c>
      <c r="C1387" s="83" t="s">
        <v>5977</v>
      </c>
      <c r="D1387" s="83" t="s">
        <v>5978</v>
      </c>
      <c r="E1387" s="84" t="s">
        <v>5979</v>
      </c>
      <c r="F1387" s="83" t="s">
        <v>5980</v>
      </c>
      <c r="G1387" s="83" t="s">
        <v>166</v>
      </c>
      <c r="H1387" s="83"/>
    </row>
    <row r="1388" customFormat="false" ht="15" hidden="false" customHeight="false" outlineLevel="0" collapsed="false">
      <c r="A1388" s="83" t="n">
        <v>1387</v>
      </c>
      <c r="B1388" s="83" t="s">
        <v>9</v>
      </c>
      <c r="C1388" s="83" t="s">
        <v>5981</v>
      </c>
      <c r="D1388" s="83" t="s">
        <v>5981</v>
      </c>
      <c r="E1388" s="84" t="s">
        <v>5982</v>
      </c>
      <c r="F1388" s="83" t="s">
        <v>5983</v>
      </c>
      <c r="G1388" s="83" t="s">
        <v>166</v>
      </c>
      <c r="H1388" s="83"/>
    </row>
    <row r="1389" customFormat="false" ht="15" hidden="false" customHeight="false" outlineLevel="0" collapsed="false">
      <c r="A1389" s="83" t="n">
        <v>1388</v>
      </c>
      <c r="B1389" s="83" t="s">
        <v>9</v>
      </c>
      <c r="C1389" s="83" t="s">
        <v>5984</v>
      </c>
      <c r="D1389" s="83" t="s">
        <v>5985</v>
      </c>
      <c r="E1389" s="84" t="s">
        <v>5986</v>
      </c>
      <c r="F1389" s="83" t="s">
        <v>5987</v>
      </c>
      <c r="G1389" s="83" t="s">
        <v>166</v>
      </c>
      <c r="H1389" s="83" t="s">
        <v>5988</v>
      </c>
    </row>
    <row r="1390" customFormat="false" ht="15" hidden="false" customHeight="false" outlineLevel="0" collapsed="false">
      <c r="A1390" s="83" t="n">
        <v>1389</v>
      </c>
      <c r="B1390" s="83" t="s">
        <v>9</v>
      </c>
      <c r="C1390" s="83" t="s">
        <v>5989</v>
      </c>
      <c r="D1390" s="83" t="s">
        <v>5990</v>
      </c>
      <c r="E1390" s="84" t="s">
        <v>5991</v>
      </c>
      <c r="F1390" s="83" t="s">
        <v>5992</v>
      </c>
      <c r="G1390" s="83" t="s">
        <v>166</v>
      </c>
      <c r="H1390" s="83" t="s">
        <v>5993</v>
      </c>
    </row>
    <row r="1391" customFormat="false" ht="15" hidden="false" customHeight="false" outlineLevel="0" collapsed="false">
      <c r="A1391" s="83" t="n">
        <v>1390</v>
      </c>
      <c r="B1391" s="83" t="s">
        <v>9</v>
      </c>
      <c r="C1391" s="83" t="s">
        <v>5994</v>
      </c>
      <c r="D1391" s="83" t="s">
        <v>5995</v>
      </c>
      <c r="E1391" s="84" t="s">
        <v>5996</v>
      </c>
      <c r="F1391" s="83" t="s">
        <v>5997</v>
      </c>
      <c r="G1391" s="83" t="s">
        <v>166</v>
      </c>
      <c r="H1391" s="83" t="s">
        <v>5998</v>
      </c>
    </row>
    <row r="1392" customFormat="false" ht="15" hidden="false" customHeight="false" outlineLevel="0" collapsed="false">
      <c r="A1392" s="83" t="n">
        <v>1391</v>
      </c>
      <c r="B1392" s="83" t="s">
        <v>9</v>
      </c>
      <c r="C1392" s="83" t="s">
        <v>5999</v>
      </c>
      <c r="D1392" s="83" t="s">
        <v>6000</v>
      </c>
      <c r="E1392" s="84" t="s">
        <v>6001</v>
      </c>
      <c r="F1392" s="83" t="s">
        <v>6002</v>
      </c>
      <c r="G1392" s="83" t="s">
        <v>166</v>
      </c>
      <c r="H1392" s="83" t="s">
        <v>6003</v>
      </c>
    </row>
    <row r="1393" customFormat="false" ht="15" hidden="false" customHeight="false" outlineLevel="0" collapsed="false">
      <c r="A1393" s="83" t="n">
        <v>1392</v>
      </c>
      <c r="B1393" s="83" t="s">
        <v>9</v>
      </c>
      <c r="C1393" s="83" t="s">
        <v>6004</v>
      </c>
      <c r="D1393" s="83" t="s">
        <v>6005</v>
      </c>
      <c r="E1393" s="84" t="s">
        <v>6006</v>
      </c>
      <c r="F1393" s="83" t="s">
        <v>6007</v>
      </c>
      <c r="G1393" s="83" t="s">
        <v>166</v>
      </c>
      <c r="H1393" s="83"/>
    </row>
    <row r="1394" customFormat="false" ht="15" hidden="false" customHeight="false" outlineLevel="0" collapsed="false">
      <c r="A1394" s="83" t="n">
        <v>1393</v>
      </c>
      <c r="B1394" s="83" t="s">
        <v>9</v>
      </c>
      <c r="C1394" s="83" t="s">
        <v>6008</v>
      </c>
      <c r="D1394" s="83" t="s">
        <v>6009</v>
      </c>
      <c r="E1394" s="84" t="s">
        <v>6010</v>
      </c>
      <c r="F1394" s="83" t="s">
        <v>6011</v>
      </c>
      <c r="G1394" s="83" t="s">
        <v>166</v>
      </c>
      <c r="H1394" s="83"/>
    </row>
    <row r="1395" customFormat="false" ht="15" hidden="false" customHeight="false" outlineLevel="0" collapsed="false">
      <c r="A1395" s="83" t="n">
        <v>1394</v>
      </c>
      <c r="B1395" s="83" t="s">
        <v>9</v>
      </c>
      <c r="C1395" s="83" t="s">
        <v>6012</v>
      </c>
      <c r="D1395" s="83" t="s">
        <v>6013</v>
      </c>
      <c r="E1395" s="84" t="s">
        <v>6014</v>
      </c>
      <c r="F1395" s="83" t="s">
        <v>6015</v>
      </c>
      <c r="G1395" s="83" t="s">
        <v>166</v>
      </c>
      <c r="H1395" s="83"/>
    </row>
    <row r="1396" customFormat="false" ht="15" hidden="false" customHeight="false" outlineLevel="0" collapsed="false">
      <c r="A1396" s="83" t="n">
        <v>1395</v>
      </c>
      <c r="B1396" s="83" t="s">
        <v>9</v>
      </c>
      <c r="C1396" s="83" t="s">
        <v>6016</v>
      </c>
      <c r="D1396" s="83" t="s">
        <v>3973</v>
      </c>
      <c r="E1396" s="84" t="s">
        <v>6017</v>
      </c>
      <c r="F1396" s="83" t="s">
        <v>6018</v>
      </c>
      <c r="G1396" s="83" t="s">
        <v>166</v>
      </c>
      <c r="H1396" s="83"/>
    </row>
    <row r="1397" customFormat="false" ht="15" hidden="false" customHeight="false" outlineLevel="0" collapsed="false">
      <c r="A1397" s="83" t="n">
        <v>1396</v>
      </c>
      <c r="B1397" s="83" t="s">
        <v>9</v>
      </c>
      <c r="C1397" s="83" t="s">
        <v>6019</v>
      </c>
      <c r="D1397" s="83" t="s">
        <v>6020</v>
      </c>
      <c r="E1397" s="84" t="s">
        <v>6021</v>
      </c>
      <c r="F1397" s="83" t="s">
        <v>6022</v>
      </c>
      <c r="G1397" s="83" t="s">
        <v>166</v>
      </c>
      <c r="H1397" s="83"/>
    </row>
    <row r="1398" customFormat="false" ht="15" hidden="false" customHeight="false" outlineLevel="0" collapsed="false">
      <c r="A1398" s="83" t="n">
        <v>1397</v>
      </c>
      <c r="B1398" s="83" t="s">
        <v>9</v>
      </c>
      <c r="C1398" s="83" t="s">
        <v>6023</v>
      </c>
      <c r="D1398" s="83" t="s">
        <v>6024</v>
      </c>
      <c r="E1398" s="84" t="s">
        <v>6025</v>
      </c>
      <c r="F1398" s="83" t="s">
        <v>6026</v>
      </c>
      <c r="G1398" s="83" t="s">
        <v>166</v>
      </c>
      <c r="H1398" s="83"/>
    </row>
    <row r="1399" customFormat="false" ht="15" hidden="false" customHeight="false" outlineLevel="0" collapsed="false">
      <c r="A1399" s="83" t="n">
        <v>1398</v>
      </c>
      <c r="B1399" s="83" t="s">
        <v>9</v>
      </c>
      <c r="C1399" s="83" t="s">
        <v>6027</v>
      </c>
      <c r="D1399" s="83" t="s">
        <v>6027</v>
      </c>
      <c r="E1399" s="83" t="s">
        <v>6028</v>
      </c>
      <c r="F1399" s="83" t="s">
        <v>6029</v>
      </c>
      <c r="G1399" s="83" t="s">
        <v>166</v>
      </c>
      <c r="H1399" s="83" t="s">
        <v>6030</v>
      </c>
    </row>
    <row r="1400" customFormat="false" ht="15" hidden="false" customHeight="false" outlineLevel="0" collapsed="false">
      <c r="A1400" s="83" t="n">
        <v>1399</v>
      </c>
      <c r="B1400" s="83" t="s">
        <v>9</v>
      </c>
      <c r="C1400" s="83" t="s">
        <v>6031</v>
      </c>
      <c r="D1400" s="83" t="s">
        <v>6032</v>
      </c>
      <c r="E1400" s="84" t="s">
        <v>6033</v>
      </c>
      <c r="F1400" s="83" t="s">
        <v>6034</v>
      </c>
      <c r="G1400" s="83" t="s">
        <v>166</v>
      </c>
      <c r="H1400" s="83" t="s">
        <v>6035</v>
      </c>
    </row>
    <row r="1401" customFormat="false" ht="15" hidden="false" customHeight="false" outlineLevel="0" collapsed="false">
      <c r="A1401" s="83" t="n">
        <v>1400</v>
      </c>
      <c r="B1401" s="83" t="s">
        <v>9</v>
      </c>
      <c r="C1401" s="83" t="s">
        <v>6036</v>
      </c>
      <c r="D1401" s="83" t="s">
        <v>6037</v>
      </c>
      <c r="E1401" s="84" t="s">
        <v>6038</v>
      </c>
      <c r="F1401" s="83" t="s">
        <v>6039</v>
      </c>
      <c r="G1401" s="83" t="s">
        <v>166</v>
      </c>
      <c r="H1401" s="83"/>
    </row>
    <row r="1402" customFormat="false" ht="15" hidden="false" customHeight="false" outlineLevel="0" collapsed="false">
      <c r="A1402" s="83" t="n">
        <v>1401</v>
      </c>
      <c r="B1402" s="83" t="s">
        <v>9</v>
      </c>
      <c r="C1402" s="83" t="s">
        <v>6040</v>
      </c>
      <c r="D1402" s="83" t="s">
        <v>6041</v>
      </c>
      <c r="E1402" s="84" t="s">
        <v>6042</v>
      </c>
      <c r="F1402" s="83" t="s">
        <v>6043</v>
      </c>
      <c r="G1402" s="83" t="s">
        <v>166</v>
      </c>
      <c r="H1402" s="83"/>
    </row>
    <row r="1403" customFormat="false" ht="15" hidden="false" customHeight="false" outlineLevel="0" collapsed="false">
      <c r="A1403" s="83" t="n">
        <v>1402</v>
      </c>
      <c r="B1403" s="83" t="s">
        <v>9</v>
      </c>
      <c r="C1403" s="83" t="s">
        <v>6044</v>
      </c>
      <c r="D1403" s="83" t="s">
        <v>6045</v>
      </c>
      <c r="E1403" s="84" t="s">
        <v>6046</v>
      </c>
      <c r="F1403" s="83" t="s">
        <v>6047</v>
      </c>
      <c r="G1403" s="83" t="s">
        <v>166</v>
      </c>
      <c r="H1403" s="83"/>
    </row>
    <row r="1404" customFormat="false" ht="15" hidden="false" customHeight="false" outlineLevel="0" collapsed="false">
      <c r="A1404" s="83" t="n">
        <v>1403</v>
      </c>
      <c r="B1404" s="83" t="s">
        <v>9</v>
      </c>
      <c r="C1404" s="83" t="s">
        <v>6048</v>
      </c>
      <c r="D1404" s="83" t="s">
        <v>6049</v>
      </c>
      <c r="E1404" s="84" t="s">
        <v>6050</v>
      </c>
      <c r="F1404" s="83" t="s">
        <v>6051</v>
      </c>
      <c r="G1404" s="83" t="s">
        <v>168</v>
      </c>
      <c r="H1404" s="83"/>
    </row>
    <row r="1405" customFormat="false" ht="15" hidden="false" customHeight="false" outlineLevel="0" collapsed="false">
      <c r="A1405" s="83" t="n">
        <v>1404</v>
      </c>
      <c r="B1405" s="83" t="s">
        <v>9</v>
      </c>
      <c r="C1405" s="83" t="s">
        <v>6052</v>
      </c>
      <c r="D1405" s="83" t="s">
        <v>6053</v>
      </c>
      <c r="E1405" s="84" t="s">
        <v>6054</v>
      </c>
      <c r="F1405" s="83" t="s">
        <v>6055</v>
      </c>
      <c r="G1405" s="83" t="s">
        <v>168</v>
      </c>
      <c r="H1405" s="83"/>
    </row>
    <row r="1406" customFormat="false" ht="15" hidden="false" customHeight="false" outlineLevel="0" collapsed="false">
      <c r="A1406" s="83" t="n">
        <v>1405</v>
      </c>
      <c r="B1406" s="83" t="s">
        <v>9</v>
      </c>
      <c r="C1406" s="83" t="s">
        <v>6056</v>
      </c>
      <c r="D1406" s="83" t="s">
        <v>6057</v>
      </c>
      <c r="E1406" s="84" t="s">
        <v>6058</v>
      </c>
      <c r="F1406" s="83" t="s">
        <v>6059</v>
      </c>
      <c r="G1406" s="83" t="s">
        <v>168</v>
      </c>
      <c r="H1406" s="83"/>
    </row>
    <row r="1407" customFormat="false" ht="15" hidden="false" customHeight="false" outlineLevel="0" collapsed="false">
      <c r="A1407" s="83" t="n">
        <v>1406</v>
      </c>
      <c r="B1407" s="83" t="s">
        <v>9</v>
      </c>
      <c r="C1407" s="83" t="s">
        <v>6060</v>
      </c>
      <c r="D1407" s="83" t="s">
        <v>6061</v>
      </c>
      <c r="E1407" s="84" t="s">
        <v>6062</v>
      </c>
      <c r="F1407" s="83" t="s">
        <v>6063</v>
      </c>
      <c r="G1407" s="83" t="s">
        <v>168</v>
      </c>
      <c r="H1407" s="83"/>
    </row>
    <row r="1408" customFormat="false" ht="15" hidden="false" customHeight="false" outlineLevel="0" collapsed="false">
      <c r="A1408" s="83" t="n">
        <v>1407</v>
      </c>
      <c r="B1408" s="83" t="s">
        <v>9</v>
      </c>
      <c r="C1408" s="83" t="s">
        <v>6064</v>
      </c>
      <c r="D1408" s="83" t="s">
        <v>6065</v>
      </c>
      <c r="E1408" s="84" t="s">
        <v>6066</v>
      </c>
      <c r="F1408" s="83" t="s">
        <v>6067</v>
      </c>
      <c r="G1408" s="83" t="s">
        <v>168</v>
      </c>
      <c r="H1408" s="83"/>
    </row>
    <row r="1409" customFormat="false" ht="15" hidden="false" customHeight="false" outlineLevel="0" collapsed="false">
      <c r="A1409" s="83" t="n">
        <v>1408</v>
      </c>
      <c r="B1409" s="83" t="s">
        <v>9</v>
      </c>
      <c r="C1409" s="83" t="s">
        <v>6068</v>
      </c>
      <c r="D1409" s="83" t="s">
        <v>6069</v>
      </c>
      <c r="E1409" s="84" t="s">
        <v>6070</v>
      </c>
      <c r="F1409" s="83" t="s">
        <v>6071</v>
      </c>
      <c r="G1409" s="83" t="s">
        <v>168</v>
      </c>
      <c r="H1409" s="83"/>
    </row>
    <row r="1410" customFormat="false" ht="15" hidden="false" customHeight="false" outlineLevel="0" collapsed="false">
      <c r="A1410" s="83" t="n">
        <v>1409</v>
      </c>
      <c r="B1410" s="83" t="s">
        <v>9</v>
      </c>
      <c r="C1410" s="83" t="s">
        <v>6072</v>
      </c>
      <c r="D1410" s="83" t="s">
        <v>6073</v>
      </c>
      <c r="E1410" s="84" t="s">
        <v>6074</v>
      </c>
      <c r="F1410" s="83" t="s">
        <v>6075</v>
      </c>
      <c r="G1410" s="83" t="s">
        <v>168</v>
      </c>
      <c r="H1410" s="83"/>
    </row>
    <row r="1411" customFormat="false" ht="15" hidden="false" customHeight="false" outlineLevel="0" collapsed="false">
      <c r="A1411" s="83" t="n">
        <v>1410</v>
      </c>
      <c r="B1411" s="83" t="s">
        <v>9</v>
      </c>
      <c r="C1411" s="83" t="s">
        <v>6076</v>
      </c>
      <c r="D1411" s="83" t="s">
        <v>6077</v>
      </c>
      <c r="E1411" s="84" t="s">
        <v>6078</v>
      </c>
      <c r="F1411" s="83" t="s">
        <v>6079</v>
      </c>
      <c r="G1411" s="83" t="s">
        <v>168</v>
      </c>
      <c r="H1411" s="83"/>
    </row>
    <row r="1412" customFormat="false" ht="15" hidden="false" customHeight="false" outlineLevel="0" collapsed="false">
      <c r="A1412" s="83" t="n">
        <v>1411</v>
      </c>
      <c r="B1412" s="83" t="s">
        <v>9</v>
      </c>
      <c r="C1412" s="83" t="s">
        <v>6080</v>
      </c>
      <c r="D1412" s="83" t="s">
        <v>6081</v>
      </c>
      <c r="E1412" s="84" t="s">
        <v>6082</v>
      </c>
      <c r="F1412" s="83" t="s">
        <v>6083</v>
      </c>
      <c r="G1412" s="83" t="s">
        <v>168</v>
      </c>
      <c r="H1412" s="83"/>
    </row>
    <row r="1413" customFormat="false" ht="15" hidden="false" customHeight="false" outlineLevel="0" collapsed="false">
      <c r="A1413" s="83" t="n">
        <v>1412</v>
      </c>
      <c r="B1413" s="83" t="s">
        <v>9</v>
      </c>
      <c r="C1413" s="83" t="s">
        <v>6084</v>
      </c>
      <c r="D1413" s="83" t="s">
        <v>6085</v>
      </c>
      <c r="E1413" s="84" t="s">
        <v>6086</v>
      </c>
      <c r="F1413" s="83" t="s">
        <v>6087</v>
      </c>
      <c r="G1413" s="83" t="s">
        <v>168</v>
      </c>
      <c r="H1413" s="83"/>
    </row>
    <row r="1414" customFormat="false" ht="15" hidden="false" customHeight="false" outlineLevel="0" collapsed="false">
      <c r="A1414" s="83" t="n">
        <v>1413</v>
      </c>
      <c r="B1414" s="83" t="s">
        <v>9</v>
      </c>
      <c r="C1414" s="83" t="s">
        <v>6088</v>
      </c>
      <c r="D1414" s="83" t="s">
        <v>6089</v>
      </c>
      <c r="E1414" s="84" t="s">
        <v>6090</v>
      </c>
      <c r="F1414" s="83" t="s">
        <v>6091</v>
      </c>
      <c r="G1414" s="83" t="s">
        <v>168</v>
      </c>
      <c r="H1414" s="83" t="s">
        <v>6092</v>
      </c>
    </row>
    <row r="1415" customFormat="false" ht="15" hidden="false" customHeight="false" outlineLevel="0" collapsed="false">
      <c r="A1415" s="83" t="n">
        <v>1414</v>
      </c>
      <c r="B1415" s="83" t="s">
        <v>9</v>
      </c>
      <c r="C1415" s="83" t="s">
        <v>6093</v>
      </c>
      <c r="D1415" s="83" t="s">
        <v>6094</v>
      </c>
      <c r="E1415" s="84" t="s">
        <v>6095</v>
      </c>
      <c r="F1415" s="83" t="s">
        <v>2531</v>
      </c>
      <c r="G1415" s="83" t="s">
        <v>168</v>
      </c>
      <c r="H1415" s="83"/>
    </row>
    <row r="1416" customFormat="false" ht="15" hidden="false" customHeight="false" outlineLevel="0" collapsed="false">
      <c r="A1416" s="83" t="n">
        <v>1415</v>
      </c>
      <c r="B1416" s="83" t="s">
        <v>9</v>
      </c>
      <c r="C1416" s="83" t="s">
        <v>6096</v>
      </c>
      <c r="D1416" s="83" t="s">
        <v>6097</v>
      </c>
      <c r="E1416" s="84" t="s">
        <v>6098</v>
      </c>
      <c r="F1416" s="83" t="s">
        <v>6099</v>
      </c>
      <c r="G1416" s="83" t="s">
        <v>168</v>
      </c>
      <c r="H1416" s="83"/>
    </row>
    <row r="1417" customFormat="false" ht="15" hidden="false" customHeight="false" outlineLevel="0" collapsed="false">
      <c r="A1417" s="83" t="n">
        <v>1416</v>
      </c>
      <c r="B1417" s="83" t="s">
        <v>9</v>
      </c>
      <c r="C1417" s="83" t="s">
        <v>6100</v>
      </c>
      <c r="D1417" s="83" t="s">
        <v>6101</v>
      </c>
      <c r="E1417" s="84" t="s">
        <v>6102</v>
      </c>
      <c r="F1417" s="83" t="s">
        <v>6103</v>
      </c>
      <c r="G1417" s="83" t="s">
        <v>168</v>
      </c>
      <c r="H1417" s="83" t="s">
        <v>6104</v>
      </c>
    </row>
    <row r="1418" customFormat="false" ht="15" hidden="false" customHeight="false" outlineLevel="0" collapsed="false">
      <c r="A1418" s="83" t="n">
        <v>1417</v>
      </c>
      <c r="B1418" s="83" t="s">
        <v>9</v>
      </c>
      <c r="C1418" s="83" t="s">
        <v>6105</v>
      </c>
      <c r="D1418" s="83" t="s">
        <v>6106</v>
      </c>
      <c r="E1418" s="84" t="s">
        <v>6107</v>
      </c>
      <c r="F1418" s="83" t="s">
        <v>6108</v>
      </c>
      <c r="G1418" s="83" t="s">
        <v>168</v>
      </c>
      <c r="H1418" s="83"/>
    </row>
    <row r="1419" customFormat="false" ht="15" hidden="false" customHeight="false" outlineLevel="0" collapsed="false">
      <c r="A1419" s="83" t="n">
        <v>1418</v>
      </c>
      <c r="B1419" s="83" t="s">
        <v>9</v>
      </c>
      <c r="C1419" s="83" t="s">
        <v>6109</v>
      </c>
      <c r="D1419" s="83" t="s">
        <v>6110</v>
      </c>
      <c r="E1419" s="84" t="s">
        <v>6111</v>
      </c>
      <c r="F1419" s="83" t="s">
        <v>6112</v>
      </c>
      <c r="G1419" s="83" t="s">
        <v>168</v>
      </c>
      <c r="H1419" s="83"/>
    </row>
    <row r="1420" customFormat="false" ht="15" hidden="false" customHeight="false" outlineLevel="0" collapsed="false">
      <c r="A1420" s="83" t="n">
        <v>1419</v>
      </c>
      <c r="B1420" s="83" t="s">
        <v>9</v>
      </c>
      <c r="C1420" s="83" t="s">
        <v>6113</v>
      </c>
      <c r="D1420" s="83" t="s">
        <v>6114</v>
      </c>
      <c r="E1420" s="84" t="s">
        <v>6115</v>
      </c>
      <c r="F1420" s="83" t="s">
        <v>6116</v>
      </c>
      <c r="G1420" s="83" t="s">
        <v>168</v>
      </c>
      <c r="H1420" s="83"/>
    </row>
    <row r="1421" customFormat="false" ht="15" hidden="false" customHeight="false" outlineLevel="0" collapsed="false">
      <c r="A1421" s="83" t="n">
        <v>1420</v>
      </c>
      <c r="B1421" s="83" t="s">
        <v>9</v>
      </c>
      <c r="C1421" s="83" t="s">
        <v>6117</v>
      </c>
      <c r="D1421" s="83" t="s">
        <v>6118</v>
      </c>
      <c r="E1421" s="84" t="s">
        <v>6119</v>
      </c>
      <c r="F1421" s="83" t="s">
        <v>6120</v>
      </c>
      <c r="G1421" s="83" t="s">
        <v>168</v>
      </c>
      <c r="H1421" s="83" t="s">
        <v>6121</v>
      </c>
    </row>
    <row r="1422" customFormat="false" ht="15" hidden="false" customHeight="false" outlineLevel="0" collapsed="false">
      <c r="A1422" s="83" t="n">
        <v>1421</v>
      </c>
      <c r="B1422" s="83" t="s">
        <v>9</v>
      </c>
      <c r="C1422" s="83" t="s">
        <v>6122</v>
      </c>
      <c r="D1422" s="83" t="s">
        <v>6123</v>
      </c>
      <c r="E1422" s="84" t="s">
        <v>6124</v>
      </c>
      <c r="F1422" s="83" t="s">
        <v>6125</v>
      </c>
      <c r="G1422" s="83" t="s">
        <v>168</v>
      </c>
      <c r="H1422" s="83"/>
    </row>
    <row r="1423" customFormat="false" ht="15" hidden="false" customHeight="false" outlineLevel="0" collapsed="false">
      <c r="A1423" s="83" t="n">
        <v>1422</v>
      </c>
      <c r="B1423" s="83" t="s">
        <v>9</v>
      </c>
      <c r="C1423" s="83" t="s">
        <v>6126</v>
      </c>
      <c r="D1423" s="83" t="s">
        <v>6127</v>
      </c>
      <c r="E1423" s="84" t="s">
        <v>6128</v>
      </c>
      <c r="F1423" s="83" t="s">
        <v>6129</v>
      </c>
      <c r="G1423" s="83" t="s">
        <v>168</v>
      </c>
      <c r="H1423" s="83"/>
    </row>
    <row r="1424" customFormat="false" ht="15" hidden="false" customHeight="false" outlineLevel="0" collapsed="false">
      <c r="A1424" s="83" t="n">
        <v>1423</v>
      </c>
      <c r="B1424" s="83" t="s">
        <v>9</v>
      </c>
      <c r="C1424" s="83" t="s">
        <v>6130</v>
      </c>
      <c r="D1424" s="83" t="s">
        <v>6131</v>
      </c>
      <c r="E1424" s="84" t="s">
        <v>6132</v>
      </c>
      <c r="F1424" s="83" t="s">
        <v>6133</v>
      </c>
      <c r="G1424" s="83" t="s">
        <v>170</v>
      </c>
      <c r="H1424" s="83"/>
    </row>
    <row r="1425" customFormat="false" ht="15" hidden="false" customHeight="false" outlineLevel="0" collapsed="false">
      <c r="A1425" s="83" t="n">
        <v>1424</v>
      </c>
      <c r="B1425" s="83" t="s">
        <v>9</v>
      </c>
      <c r="C1425" s="83" t="s">
        <v>6134</v>
      </c>
      <c r="D1425" s="83" t="s">
        <v>6135</v>
      </c>
      <c r="E1425" s="84" t="s">
        <v>6136</v>
      </c>
      <c r="F1425" s="83" t="s">
        <v>6137</v>
      </c>
      <c r="G1425" s="83" t="s">
        <v>170</v>
      </c>
      <c r="H1425" s="83"/>
    </row>
    <row r="1426" customFormat="false" ht="15" hidden="false" customHeight="false" outlineLevel="0" collapsed="false">
      <c r="A1426" s="83" t="n">
        <v>1425</v>
      </c>
      <c r="B1426" s="83" t="s">
        <v>9</v>
      </c>
      <c r="C1426" s="83" t="s">
        <v>6138</v>
      </c>
      <c r="D1426" s="83" t="s">
        <v>6139</v>
      </c>
      <c r="E1426" s="84" t="s">
        <v>6140</v>
      </c>
      <c r="F1426" s="83" t="s">
        <v>6141</v>
      </c>
      <c r="G1426" s="83" t="s">
        <v>170</v>
      </c>
      <c r="H1426" s="83"/>
    </row>
    <row r="1427" customFormat="false" ht="15" hidden="false" customHeight="false" outlineLevel="0" collapsed="false">
      <c r="A1427" s="83" t="n">
        <v>1426</v>
      </c>
      <c r="B1427" s="83" t="s">
        <v>9</v>
      </c>
      <c r="C1427" s="83" t="s">
        <v>6142</v>
      </c>
      <c r="D1427" s="83" t="s">
        <v>6143</v>
      </c>
      <c r="E1427" s="84" t="s">
        <v>6144</v>
      </c>
      <c r="F1427" s="83" t="s">
        <v>6145</v>
      </c>
      <c r="G1427" s="83" t="s">
        <v>170</v>
      </c>
      <c r="H1427" s="83" t="s">
        <v>6146</v>
      </c>
    </row>
    <row r="1428" customFormat="false" ht="15" hidden="false" customHeight="false" outlineLevel="0" collapsed="false">
      <c r="A1428" s="83" t="n">
        <v>1427</v>
      </c>
      <c r="B1428" s="83" t="s">
        <v>9</v>
      </c>
      <c r="C1428" s="83" t="s">
        <v>6147</v>
      </c>
      <c r="D1428" s="83" t="s">
        <v>6148</v>
      </c>
      <c r="E1428" s="84" t="s">
        <v>6149</v>
      </c>
      <c r="F1428" s="83" t="s">
        <v>6150</v>
      </c>
      <c r="G1428" s="83" t="s">
        <v>170</v>
      </c>
      <c r="H1428" s="83"/>
    </row>
    <row r="1429" customFormat="false" ht="15" hidden="false" customHeight="false" outlineLevel="0" collapsed="false">
      <c r="A1429" s="83" t="n">
        <v>1428</v>
      </c>
      <c r="B1429" s="83" t="s">
        <v>9</v>
      </c>
      <c r="C1429" s="83" t="s">
        <v>6151</v>
      </c>
      <c r="D1429" s="83" t="s">
        <v>6152</v>
      </c>
      <c r="E1429" s="84" t="s">
        <v>6153</v>
      </c>
      <c r="F1429" s="83" t="s">
        <v>6154</v>
      </c>
      <c r="G1429" s="83" t="s">
        <v>170</v>
      </c>
      <c r="H1429" s="83"/>
    </row>
    <row r="1430" customFormat="false" ht="15" hidden="false" customHeight="false" outlineLevel="0" collapsed="false">
      <c r="A1430" s="83" t="n">
        <v>1429</v>
      </c>
      <c r="B1430" s="83" t="s">
        <v>9</v>
      </c>
      <c r="C1430" s="83" t="s">
        <v>6155</v>
      </c>
      <c r="D1430" s="83" t="s">
        <v>6156</v>
      </c>
      <c r="E1430" s="84" t="s">
        <v>6157</v>
      </c>
      <c r="F1430" s="83" t="s">
        <v>6158</v>
      </c>
      <c r="G1430" s="83" t="s">
        <v>170</v>
      </c>
      <c r="H1430" s="83"/>
    </row>
    <row r="1431" customFormat="false" ht="15" hidden="false" customHeight="false" outlineLevel="0" collapsed="false">
      <c r="A1431" s="83" t="n">
        <v>1430</v>
      </c>
      <c r="B1431" s="83" t="s">
        <v>9</v>
      </c>
      <c r="C1431" s="83" t="s">
        <v>6159</v>
      </c>
      <c r="D1431" s="83" t="s">
        <v>6160</v>
      </c>
      <c r="E1431" s="84" t="s">
        <v>6161</v>
      </c>
      <c r="F1431" s="83" t="s">
        <v>6162</v>
      </c>
      <c r="G1431" s="83" t="s">
        <v>170</v>
      </c>
      <c r="H1431" s="83" t="s">
        <v>6163</v>
      </c>
    </row>
    <row r="1432" customFormat="false" ht="15" hidden="false" customHeight="false" outlineLevel="0" collapsed="false">
      <c r="A1432" s="83" t="n">
        <v>1431</v>
      </c>
      <c r="B1432" s="83" t="s">
        <v>9</v>
      </c>
      <c r="C1432" s="83" t="s">
        <v>6164</v>
      </c>
      <c r="D1432" s="83" t="s">
        <v>6165</v>
      </c>
      <c r="E1432" s="84" t="s">
        <v>6166</v>
      </c>
      <c r="F1432" s="83" t="s">
        <v>6167</v>
      </c>
      <c r="G1432" s="83" t="s">
        <v>170</v>
      </c>
      <c r="H1432" s="83"/>
    </row>
    <row r="1433" customFormat="false" ht="15" hidden="false" customHeight="false" outlineLevel="0" collapsed="false">
      <c r="A1433" s="83" t="n">
        <v>1432</v>
      </c>
      <c r="B1433" s="83" t="s">
        <v>9</v>
      </c>
      <c r="C1433" s="83" t="s">
        <v>4770</v>
      </c>
      <c r="D1433" s="83" t="s">
        <v>6168</v>
      </c>
      <c r="E1433" s="84" t="s">
        <v>6169</v>
      </c>
      <c r="F1433" s="83" t="s">
        <v>6170</v>
      </c>
      <c r="G1433" s="83" t="s">
        <v>170</v>
      </c>
      <c r="H1433" s="83" t="s">
        <v>4774</v>
      </c>
    </row>
    <row r="1434" customFormat="false" ht="15" hidden="false" customHeight="false" outlineLevel="0" collapsed="false">
      <c r="A1434" s="83" t="n">
        <v>1433</v>
      </c>
      <c r="B1434" s="83" t="s">
        <v>9</v>
      </c>
      <c r="C1434" s="83" t="s">
        <v>6171</v>
      </c>
      <c r="D1434" s="83" t="s">
        <v>6172</v>
      </c>
      <c r="E1434" s="84" t="s">
        <v>6173</v>
      </c>
      <c r="F1434" s="83" t="s">
        <v>6174</v>
      </c>
      <c r="G1434" s="83" t="s">
        <v>170</v>
      </c>
      <c r="H1434" s="83" t="s">
        <v>6175</v>
      </c>
    </row>
    <row r="1435" customFormat="false" ht="15" hidden="false" customHeight="false" outlineLevel="0" collapsed="false">
      <c r="A1435" s="83" t="n">
        <v>1434</v>
      </c>
      <c r="B1435" s="83" t="s">
        <v>9</v>
      </c>
      <c r="C1435" s="83" t="s">
        <v>6176</v>
      </c>
      <c r="D1435" s="83" t="s">
        <v>6177</v>
      </c>
      <c r="E1435" s="84" t="s">
        <v>6178</v>
      </c>
      <c r="F1435" s="83" t="s">
        <v>6179</v>
      </c>
      <c r="G1435" s="83" t="s">
        <v>170</v>
      </c>
      <c r="H1435" s="83"/>
    </row>
    <row r="1436" customFormat="false" ht="15" hidden="false" customHeight="false" outlineLevel="0" collapsed="false">
      <c r="A1436" s="83" t="n">
        <v>1435</v>
      </c>
      <c r="B1436" s="83" t="s">
        <v>9</v>
      </c>
      <c r="C1436" s="83" t="s">
        <v>6180</v>
      </c>
      <c r="D1436" s="83" t="s">
        <v>6181</v>
      </c>
      <c r="E1436" s="84" t="s">
        <v>6182</v>
      </c>
      <c r="F1436" s="83" t="s">
        <v>6183</v>
      </c>
      <c r="G1436" s="83" t="s">
        <v>170</v>
      </c>
      <c r="H1436" s="83"/>
    </row>
    <row r="1437" customFormat="false" ht="15" hidden="false" customHeight="false" outlineLevel="0" collapsed="false">
      <c r="A1437" s="83" t="n">
        <v>1436</v>
      </c>
      <c r="B1437" s="83" t="s">
        <v>9</v>
      </c>
      <c r="C1437" s="83" t="s">
        <v>6184</v>
      </c>
      <c r="D1437" s="83" t="s">
        <v>6185</v>
      </c>
      <c r="E1437" s="84" t="s">
        <v>6186</v>
      </c>
      <c r="F1437" s="83" t="s">
        <v>6187</v>
      </c>
      <c r="G1437" s="83" t="s">
        <v>170</v>
      </c>
      <c r="H1437" s="83"/>
    </row>
    <row r="1438" customFormat="false" ht="15" hidden="false" customHeight="false" outlineLevel="0" collapsed="false">
      <c r="A1438" s="83" t="n">
        <v>1437</v>
      </c>
      <c r="B1438" s="83" t="s">
        <v>9</v>
      </c>
      <c r="C1438" s="83" t="s">
        <v>6188</v>
      </c>
      <c r="D1438" s="83" t="s">
        <v>6189</v>
      </c>
      <c r="E1438" s="84" t="s">
        <v>6190</v>
      </c>
      <c r="F1438" s="83" t="s">
        <v>6191</v>
      </c>
      <c r="G1438" s="83" t="s">
        <v>170</v>
      </c>
      <c r="H1438" s="83"/>
    </row>
    <row r="1439" customFormat="false" ht="15" hidden="false" customHeight="false" outlineLevel="0" collapsed="false">
      <c r="A1439" s="83" t="n">
        <v>1438</v>
      </c>
      <c r="B1439" s="83" t="s">
        <v>9</v>
      </c>
      <c r="C1439" s="83" t="s">
        <v>6192</v>
      </c>
      <c r="D1439" s="83" t="s">
        <v>6193</v>
      </c>
      <c r="E1439" s="84" t="s">
        <v>6194</v>
      </c>
      <c r="F1439" s="83" t="s">
        <v>6195</v>
      </c>
      <c r="G1439" s="83" t="s">
        <v>172</v>
      </c>
      <c r="H1439" s="83"/>
    </row>
    <row r="1440" customFormat="false" ht="15" hidden="false" customHeight="false" outlineLevel="0" collapsed="false">
      <c r="A1440" s="83" t="n">
        <v>1439</v>
      </c>
      <c r="B1440" s="83" t="s">
        <v>9</v>
      </c>
      <c r="C1440" s="83" t="s">
        <v>6196</v>
      </c>
      <c r="D1440" s="83" t="s">
        <v>6197</v>
      </c>
      <c r="E1440" s="84" t="s">
        <v>6198</v>
      </c>
      <c r="F1440" s="83" t="s">
        <v>6199</v>
      </c>
      <c r="G1440" s="83" t="s">
        <v>172</v>
      </c>
      <c r="H1440" s="83"/>
    </row>
    <row r="1441" customFormat="false" ht="15" hidden="false" customHeight="false" outlineLevel="0" collapsed="false">
      <c r="A1441" s="83" t="n">
        <v>1440</v>
      </c>
      <c r="B1441" s="83" t="s">
        <v>9</v>
      </c>
      <c r="C1441" s="83" t="s">
        <v>6200</v>
      </c>
      <c r="D1441" s="83" t="s">
        <v>6201</v>
      </c>
      <c r="E1441" s="84" t="s">
        <v>6202</v>
      </c>
      <c r="F1441" s="83" t="s">
        <v>6203</v>
      </c>
      <c r="G1441" s="83" t="s">
        <v>172</v>
      </c>
      <c r="H1441" s="83"/>
    </row>
    <row r="1442" customFormat="false" ht="15" hidden="false" customHeight="false" outlineLevel="0" collapsed="false">
      <c r="A1442" s="83" t="n">
        <v>1441</v>
      </c>
      <c r="B1442" s="83" t="s">
        <v>9</v>
      </c>
      <c r="C1442" s="83" t="s">
        <v>6204</v>
      </c>
      <c r="D1442" s="83" t="s">
        <v>6205</v>
      </c>
      <c r="E1442" s="84" t="s">
        <v>6206</v>
      </c>
      <c r="F1442" s="83" t="s">
        <v>6207</v>
      </c>
      <c r="G1442" s="83" t="s">
        <v>172</v>
      </c>
      <c r="H1442" s="83"/>
    </row>
    <row r="1443" customFormat="false" ht="15" hidden="false" customHeight="false" outlineLevel="0" collapsed="false">
      <c r="A1443" s="83" t="n">
        <v>1442</v>
      </c>
      <c r="B1443" s="83" t="s">
        <v>9</v>
      </c>
      <c r="C1443" s="83" t="s">
        <v>6208</v>
      </c>
      <c r="D1443" s="83" t="s">
        <v>6209</v>
      </c>
      <c r="E1443" s="84" t="s">
        <v>6210</v>
      </c>
      <c r="F1443" s="83" t="s">
        <v>6211</v>
      </c>
      <c r="G1443" s="83" t="s">
        <v>172</v>
      </c>
      <c r="H1443" s="83"/>
    </row>
    <row r="1444" customFormat="false" ht="15" hidden="false" customHeight="false" outlineLevel="0" collapsed="false">
      <c r="A1444" s="83" t="n">
        <v>1443</v>
      </c>
      <c r="B1444" s="83" t="s">
        <v>9</v>
      </c>
      <c r="C1444" s="83" t="s">
        <v>6212</v>
      </c>
      <c r="D1444" s="83" t="s">
        <v>6213</v>
      </c>
      <c r="E1444" s="84" t="s">
        <v>6214</v>
      </c>
      <c r="F1444" s="83" t="s">
        <v>6215</v>
      </c>
      <c r="G1444" s="83" t="s">
        <v>172</v>
      </c>
      <c r="H1444" s="83"/>
    </row>
    <row r="1445" customFormat="false" ht="15" hidden="false" customHeight="false" outlineLevel="0" collapsed="false">
      <c r="A1445" s="83" t="n">
        <v>1444</v>
      </c>
      <c r="B1445" s="83" t="s">
        <v>9</v>
      </c>
      <c r="C1445" s="83" t="s">
        <v>6216</v>
      </c>
      <c r="D1445" s="83" t="s">
        <v>6217</v>
      </c>
      <c r="E1445" s="84" t="s">
        <v>6218</v>
      </c>
      <c r="F1445" s="83" t="s">
        <v>6219</v>
      </c>
      <c r="G1445" s="83" t="s">
        <v>172</v>
      </c>
      <c r="H1445" s="83"/>
    </row>
    <row r="1446" customFormat="false" ht="15" hidden="false" customHeight="false" outlineLevel="0" collapsed="false">
      <c r="A1446" s="83" t="n">
        <v>1445</v>
      </c>
      <c r="B1446" s="83" t="s">
        <v>9</v>
      </c>
      <c r="C1446" s="83" t="s">
        <v>6220</v>
      </c>
      <c r="D1446" s="83" t="s">
        <v>6221</v>
      </c>
      <c r="E1446" s="84" t="s">
        <v>6222</v>
      </c>
      <c r="F1446" s="83" t="s">
        <v>6223</v>
      </c>
      <c r="G1446" s="83" t="s">
        <v>172</v>
      </c>
      <c r="H1446" s="83"/>
    </row>
    <row r="1447" customFormat="false" ht="15" hidden="false" customHeight="false" outlineLevel="0" collapsed="false">
      <c r="A1447" s="83" t="n">
        <v>1446</v>
      </c>
      <c r="B1447" s="83" t="s">
        <v>9</v>
      </c>
      <c r="C1447" s="83" t="s">
        <v>6224</v>
      </c>
      <c r="D1447" s="83" t="s">
        <v>6225</v>
      </c>
      <c r="E1447" s="84" t="s">
        <v>6226</v>
      </c>
      <c r="F1447" s="83" t="s">
        <v>6227</v>
      </c>
      <c r="G1447" s="83" t="s">
        <v>172</v>
      </c>
      <c r="H1447" s="83"/>
    </row>
    <row r="1448" customFormat="false" ht="15" hidden="false" customHeight="false" outlineLevel="0" collapsed="false">
      <c r="A1448" s="83" t="n">
        <v>1447</v>
      </c>
      <c r="B1448" s="83" t="s">
        <v>9</v>
      </c>
      <c r="C1448" s="83" t="s">
        <v>6228</v>
      </c>
      <c r="D1448" s="83" t="s">
        <v>6228</v>
      </c>
      <c r="E1448" s="84" t="s">
        <v>6229</v>
      </c>
      <c r="F1448" s="83" t="s">
        <v>6230</v>
      </c>
      <c r="G1448" s="83" t="s">
        <v>172</v>
      </c>
      <c r="H1448" s="83"/>
    </row>
    <row r="1449" customFormat="false" ht="15" hidden="false" customHeight="false" outlineLevel="0" collapsed="false">
      <c r="A1449" s="83" t="n">
        <v>1448</v>
      </c>
      <c r="B1449" s="83" t="s">
        <v>9</v>
      </c>
      <c r="C1449" s="83" t="s">
        <v>6231</v>
      </c>
      <c r="D1449" s="83" t="s">
        <v>6231</v>
      </c>
      <c r="E1449" s="84" t="s">
        <v>6232</v>
      </c>
      <c r="F1449" s="83" t="s">
        <v>6233</v>
      </c>
      <c r="G1449" s="83" t="s">
        <v>172</v>
      </c>
      <c r="H1449" s="83"/>
    </row>
    <row r="1450" customFormat="false" ht="15" hidden="false" customHeight="false" outlineLevel="0" collapsed="false">
      <c r="A1450" s="83" t="n">
        <v>1449</v>
      </c>
      <c r="B1450" s="83" t="s">
        <v>9</v>
      </c>
      <c r="C1450" s="83" t="s">
        <v>6234</v>
      </c>
      <c r="D1450" s="83" t="s">
        <v>6234</v>
      </c>
      <c r="E1450" s="84" t="s">
        <v>6235</v>
      </c>
      <c r="F1450" s="83" t="s">
        <v>6236</v>
      </c>
      <c r="G1450" s="83" t="s">
        <v>172</v>
      </c>
      <c r="H1450" s="83"/>
    </row>
    <row r="1451" customFormat="false" ht="15" hidden="false" customHeight="false" outlineLevel="0" collapsed="false">
      <c r="A1451" s="83" t="n">
        <v>1450</v>
      </c>
      <c r="B1451" s="83" t="s">
        <v>9</v>
      </c>
      <c r="C1451" s="83" t="s">
        <v>6237</v>
      </c>
      <c r="D1451" s="83" t="s">
        <v>6238</v>
      </c>
      <c r="E1451" s="84" t="s">
        <v>6239</v>
      </c>
      <c r="F1451" s="83" t="s">
        <v>6240</v>
      </c>
      <c r="G1451" s="83" t="s">
        <v>172</v>
      </c>
      <c r="H1451" s="83"/>
    </row>
    <row r="1452" customFormat="false" ht="15" hidden="false" customHeight="false" outlineLevel="0" collapsed="false">
      <c r="A1452" s="83" t="n">
        <v>1451</v>
      </c>
      <c r="B1452" s="83" t="s">
        <v>9</v>
      </c>
      <c r="C1452" s="83" t="s">
        <v>3634</v>
      </c>
      <c r="D1452" s="83" t="s">
        <v>3634</v>
      </c>
      <c r="E1452" s="84" t="s">
        <v>3635</v>
      </c>
      <c r="F1452" s="83" t="s">
        <v>3636</v>
      </c>
      <c r="G1452" s="83" t="s">
        <v>172</v>
      </c>
      <c r="H1452" s="83"/>
    </row>
    <row r="1453" customFormat="false" ht="15" hidden="false" customHeight="false" outlineLevel="0" collapsed="false">
      <c r="A1453" s="83" t="n">
        <v>1452</v>
      </c>
      <c r="B1453" s="83" t="s">
        <v>9</v>
      </c>
      <c r="C1453" s="83" t="s">
        <v>6241</v>
      </c>
      <c r="D1453" s="83" t="s">
        <v>6242</v>
      </c>
      <c r="E1453" s="84" t="s">
        <v>6243</v>
      </c>
      <c r="F1453" s="83" t="s">
        <v>6244</v>
      </c>
      <c r="G1453" s="83" t="s">
        <v>172</v>
      </c>
      <c r="H1453" s="83" t="s">
        <v>6245</v>
      </c>
    </row>
    <row r="1454" customFormat="false" ht="15" hidden="false" customHeight="false" outlineLevel="0" collapsed="false">
      <c r="A1454" s="83" t="n">
        <v>1453</v>
      </c>
      <c r="B1454" s="83" t="s">
        <v>9</v>
      </c>
      <c r="C1454" s="83" t="s">
        <v>6246</v>
      </c>
      <c r="D1454" s="83" t="s">
        <v>6247</v>
      </c>
      <c r="E1454" s="84" t="s">
        <v>6248</v>
      </c>
      <c r="F1454" s="83" t="s">
        <v>6249</v>
      </c>
      <c r="G1454" s="83" t="s">
        <v>174</v>
      </c>
      <c r="H1454" s="83" t="s">
        <v>6250</v>
      </c>
    </row>
    <row r="1455" customFormat="false" ht="15" hidden="false" customHeight="false" outlineLevel="0" collapsed="false">
      <c r="A1455" s="83" t="n">
        <v>1454</v>
      </c>
      <c r="B1455" s="83" t="s">
        <v>9</v>
      </c>
      <c r="C1455" s="83" t="s">
        <v>6251</v>
      </c>
      <c r="D1455" s="83" t="s">
        <v>6252</v>
      </c>
      <c r="E1455" s="84" t="s">
        <v>6253</v>
      </c>
      <c r="F1455" s="83" t="s">
        <v>6254</v>
      </c>
      <c r="G1455" s="83" t="s">
        <v>174</v>
      </c>
      <c r="H1455" s="83" t="s">
        <v>6255</v>
      </c>
    </row>
    <row r="1456" customFormat="false" ht="15" hidden="false" customHeight="false" outlineLevel="0" collapsed="false">
      <c r="A1456" s="83" t="n">
        <v>1455</v>
      </c>
      <c r="B1456" s="83" t="s">
        <v>9</v>
      </c>
      <c r="C1456" s="83" t="s">
        <v>6256</v>
      </c>
      <c r="D1456" s="83" t="s">
        <v>6257</v>
      </c>
      <c r="E1456" s="84" t="s">
        <v>6258</v>
      </c>
      <c r="F1456" s="83" t="s">
        <v>6259</v>
      </c>
      <c r="G1456" s="83" t="s">
        <v>174</v>
      </c>
      <c r="H1456" s="83"/>
    </row>
    <row r="1457" customFormat="false" ht="15" hidden="false" customHeight="false" outlineLevel="0" collapsed="false">
      <c r="A1457" s="83" t="n">
        <v>1456</v>
      </c>
      <c r="B1457" s="83" t="s">
        <v>9</v>
      </c>
      <c r="C1457" s="83" t="s">
        <v>6260</v>
      </c>
      <c r="D1457" s="83" t="s">
        <v>6261</v>
      </c>
      <c r="E1457" s="84" t="s">
        <v>6262</v>
      </c>
      <c r="F1457" s="83" t="s">
        <v>6263</v>
      </c>
      <c r="G1457" s="83" t="s">
        <v>174</v>
      </c>
      <c r="H1457" s="83"/>
    </row>
    <row r="1458" customFormat="false" ht="15" hidden="false" customHeight="false" outlineLevel="0" collapsed="false">
      <c r="A1458" s="83" t="n">
        <v>1457</v>
      </c>
      <c r="B1458" s="83" t="s">
        <v>9</v>
      </c>
      <c r="C1458" s="83" t="s">
        <v>6264</v>
      </c>
      <c r="D1458" s="83" t="s">
        <v>6265</v>
      </c>
      <c r="E1458" s="84" t="s">
        <v>6266</v>
      </c>
      <c r="F1458" s="83" t="s">
        <v>628</v>
      </c>
      <c r="G1458" s="83" t="s">
        <v>174</v>
      </c>
      <c r="H1458" s="83" t="s">
        <v>6267</v>
      </c>
    </row>
    <row r="1459" customFormat="false" ht="15" hidden="false" customHeight="false" outlineLevel="0" collapsed="false">
      <c r="A1459" s="83" t="n">
        <v>1458</v>
      </c>
      <c r="B1459" s="83" t="s">
        <v>9</v>
      </c>
      <c r="C1459" s="83" t="s">
        <v>6268</v>
      </c>
      <c r="D1459" s="83" t="s">
        <v>6269</v>
      </c>
      <c r="E1459" s="84" t="s">
        <v>6270</v>
      </c>
      <c r="F1459" s="83" t="s">
        <v>6271</v>
      </c>
      <c r="G1459" s="83" t="s">
        <v>174</v>
      </c>
      <c r="H1459" s="83"/>
    </row>
    <row r="1460" customFormat="false" ht="15" hidden="false" customHeight="false" outlineLevel="0" collapsed="false">
      <c r="A1460" s="83" t="n">
        <v>1459</v>
      </c>
      <c r="B1460" s="83" t="s">
        <v>9</v>
      </c>
      <c r="C1460" s="83" t="s">
        <v>6272</v>
      </c>
      <c r="D1460" s="83" t="s">
        <v>6273</v>
      </c>
      <c r="E1460" s="84" t="s">
        <v>6274</v>
      </c>
      <c r="F1460" s="83" t="s">
        <v>6275</v>
      </c>
      <c r="G1460" s="83" t="s">
        <v>174</v>
      </c>
      <c r="H1460" s="83"/>
    </row>
    <row r="1461" customFormat="false" ht="15" hidden="false" customHeight="false" outlineLevel="0" collapsed="false">
      <c r="A1461" s="83" t="n">
        <v>1460</v>
      </c>
      <c r="B1461" s="83" t="s">
        <v>9</v>
      </c>
      <c r="C1461" s="83" t="s">
        <v>6276</v>
      </c>
      <c r="D1461" s="83" t="s">
        <v>6277</v>
      </c>
      <c r="E1461" s="84" t="s">
        <v>6278</v>
      </c>
      <c r="F1461" s="83" t="s">
        <v>6279</v>
      </c>
      <c r="G1461" s="83" t="s">
        <v>174</v>
      </c>
      <c r="H1461" s="83" t="s">
        <v>6280</v>
      </c>
    </row>
    <row r="1462" customFormat="false" ht="15" hidden="false" customHeight="false" outlineLevel="0" collapsed="false">
      <c r="A1462" s="83" t="n">
        <v>1461</v>
      </c>
      <c r="B1462" s="83" t="s">
        <v>9</v>
      </c>
      <c r="C1462" s="83" t="s">
        <v>6281</v>
      </c>
      <c r="D1462" s="83" t="s">
        <v>6282</v>
      </c>
      <c r="E1462" s="84" t="s">
        <v>6283</v>
      </c>
      <c r="F1462" s="83" t="s">
        <v>6284</v>
      </c>
      <c r="G1462" s="83" t="s">
        <v>174</v>
      </c>
      <c r="H1462" s="83" t="s">
        <v>6285</v>
      </c>
    </row>
    <row r="1463" customFormat="false" ht="15" hidden="false" customHeight="false" outlineLevel="0" collapsed="false">
      <c r="A1463" s="83" t="n">
        <v>1462</v>
      </c>
      <c r="B1463" s="83" t="s">
        <v>9</v>
      </c>
      <c r="C1463" s="83" t="s">
        <v>6286</v>
      </c>
      <c r="D1463" s="83" t="s">
        <v>6287</v>
      </c>
      <c r="E1463" s="84" t="s">
        <v>6288</v>
      </c>
      <c r="F1463" s="83" t="s">
        <v>6289</v>
      </c>
      <c r="G1463" s="83" t="s">
        <v>174</v>
      </c>
      <c r="H1463" s="83"/>
    </row>
    <row r="1464" customFormat="false" ht="15" hidden="false" customHeight="false" outlineLevel="0" collapsed="false">
      <c r="A1464" s="83" t="n">
        <v>1463</v>
      </c>
      <c r="B1464" s="83" t="s">
        <v>9</v>
      </c>
      <c r="C1464" s="83" t="s">
        <v>6290</v>
      </c>
      <c r="D1464" s="83" t="s">
        <v>6291</v>
      </c>
      <c r="E1464" s="84" t="s">
        <v>6292</v>
      </c>
      <c r="F1464" s="83" t="s">
        <v>6293</v>
      </c>
      <c r="G1464" s="83" t="s">
        <v>174</v>
      </c>
      <c r="H1464" s="83" t="s">
        <v>6294</v>
      </c>
    </row>
    <row r="1465" customFormat="false" ht="15" hidden="false" customHeight="false" outlineLevel="0" collapsed="false">
      <c r="A1465" s="83" t="n">
        <v>1464</v>
      </c>
      <c r="B1465" s="83" t="s">
        <v>9</v>
      </c>
      <c r="C1465" s="83" t="s">
        <v>6295</v>
      </c>
      <c r="D1465" s="83" t="s">
        <v>6296</v>
      </c>
      <c r="E1465" s="84" t="s">
        <v>6297</v>
      </c>
      <c r="F1465" s="83" t="s">
        <v>6298</v>
      </c>
      <c r="G1465" s="83" t="s">
        <v>174</v>
      </c>
      <c r="H1465" s="83" t="s">
        <v>6299</v>
      </c>
    </row>
    <row r="1466" customFormat="false" ht="15" hidden="false" customHeight="false" outlineLevel="0" collapsed="false">
      <c r="A1466" s="83" t="n">
        <v>1465</v>
      </c>
      <c r="B1466" s="83" t="s">
        <v>9</v>
      </c>
      <c r="C1466" s="83" t="s">
        <v>6300</v>
      </c>
      <c r="D1466" s="83" t="s">
        <v>6301</v>
      </c>
      <c r="E1466" s="84" t="s">
        <v>6302</v>
      </c>
      <c r="F1466" s="83" t="s">
        <v>6303</v>
      </c>
      <c r="G1466" s="83" t="s">
        <v>174</v>
      </c>
      <c r="H1466" s="83" t="s">
        <v>6304</v>
      </c>
    </row>
    <row r="1467" customFormat="false" ht="15" hidden="false" customHeight="false" outlineLevel="0" collapsed="false">
      <c r="A1467" s="83" t="n">
        <v>1466</v>
      </c>
      <c r="B1467" s="83" t="s">
        <v>9</v>
      </c>
      <c r="C1467" s="83" t="s">
        <v>4221</v>
      </c>
      <c r="D1467" s="83" t="s">
        <v>6305</v>
      </c>
      <c r="E1467" s="84" t="s">
        <v>6306</v>
      </c>
      <c r="F1467" s="83" t="s">
        <v>6307</v>
      </c>
      <c r="G1467" s="83" t="s">
        <v>174</v>
      </c>
      <c r="H1467" s="83"/>
    </row>
    <row r="1468" customFormat="false" ht="15" hidden="false" customHeight="false" outlineLevel="0" collapsed="false">
      <c r="A1468" s="83" t="n">
        <v>1467</v>
      </c>
      <c r="B1468" s="83" t="s">
        <v>9</v>
      </c>
      <c r="C1468" s="83" t="s">
        <v>6308</v>
      </c>
      <c r="D1468" s="83" t="s">
        <v>6309</v>
      </c>
      <c r="E1468" s="84" t="s">
        <v>6310</v>
      </c>
      <c r="F1468" s="83" t="s">
        <v>6311</v>
      </c>
      <c r="G1468" s="83" t="s">
        <v>174</v>
      </c>
      <c r="H1468" s="83" t="s">
        <v>845</v>
      </c>
    </row>
    <row r="1469" customFormat="false" ht="15" hidden="false" customHeight="false" outlineLevel="0" collapsed="false">
      <c r="A1469" s="83" t="n">
        <v>1468</v>
      </c>
      <c r="B1469" s="83" t="s">
        <v>9</v>
      </c>
      <c r="C1469" s="83" t="s">
        <v>6312</v>
      </c>
      <c r="D1469" s="83" t="s">
        <v>6313</v>
      </c>
      <c r="E1469" s="84" t="s">
        <v>6314</v>
      </c>
      <c r="F1469" s="83" t="s">
        <v>6315</v>
      </c>
      <c r="G1469" s="83" t="s">
        <v>174</v>
      </c>
      <c r="H1469" s="83"/>
    </row>
    <row r="1470" customFormat="false" ht="15" hidden="false" customHeight="false" outlineLevel="0" collapsed="false">
      <c r="A1470" s="83" t="n">
        <v>1469</v>
      </c>
      <c r="B1470" s="83" t="s">
        <v>9</v>
      </c>
      <c r="C1470" s="83" t="s">
        <v>6316</v>
      </c>
      <c r="D1470" s="83" t="s">
        <v>6317</v>
      </c>
      <c r="E1470" s="84" t="s">
        <v>6318</v>
      </c>
      <c r="F1470" s="83" t="s">
        <v>6319</v>
      </c>
      <c r="G1470" s="83" t="s">
        <v>174</v>
      </c>
      <c r="H1470" s="83" t="s">
        <v>6320</v>
      </c>
    </row>
    <row r="1471" customFormat="false" ht="15" hidden="false" customHeight="false" outlineLevel="0" collapsed="false">
      <c r="A1471" s="83" t="n">
        <v>1470</v>
      </c>
      <c r="B1471" s="83" t="s">
        <v>9</v>
      </c>
      <c r="C1471" s="83" t="s">
        <v>6321</v>
      </c>
      <c r="D1471" s="83" t="s">
        <v>6322</v>
      </c>
      <c r="E1471" s="84" t="s">
        <v>6323</v>
      </c>
      <c r="F1471" s="83" t="s">
        <v>6324</v>
      </c>
      <c r="G1471" s="83" t="s">
        <v>174</v>
      </c>
      <c r="H1471" s="83"/>
    </row>
    <row r="1472" customFormat="false" ht="15" hidden="false" customHeight="false" outlineLevel="0" collapsed="false">
      <c r="A1472" s="83" t="n">
        <v>1471</v>
      </c>
      <c r="B1472" s="83" t="s">
        <v>9</v>
      </c>
      <c r="C1472" s="83" t="s">
        <v>6325</v>
      </c>
      <c r="D1472" s="83" t="s">
        <v>6326</v>
      </c>
      <c r="E1472" s="84" t="s">
        <v>6327</v>
      </c>
      <c r="F1472" s="83" t="s">
        <v>6328</v>
      </c>
      <c r="G1472" s="83" t="s">
        <v>174</v>
      </c>
      <c r="H1472" s="83"/>
    </row>
    <row r="1473" customFormat="false" ht="15" hidden="false" customHeight="false" outlineLevel="0" collapsed="false">
      <c r="A1473" s="83" t="n">
        <v>1472</v>
      </c>
      <c r="B1473" s="83" t="s">
        <v>9</v>
      </c>
      <c r="C1473" s="83" t="s">
        <v>6329</v>
      </c>
      <c r="D1473" s="83" t="s">
        <v>6330</v>
      </c>
      <c r="E1473" s="84" t="s">
        <v>3665</v>
      </c>
      <c r="F1473" s="83" t="s">
        <v>3666</v>
      </c>
      <c r="G1473" s="83" t="s">
        <v>174</v>
      </c>
      <c r="H1473" s="83" t="s">
        <v>6331</v>
      </c>
    </row>
    <row r="1474" customFormat="false" ht="15" hidden="false" customHeight="false" outlineLevel="0" collapsed="false">
      <c r="A1474" s="83" t="n">
        <v>1473</v>
      </c>
      <c r="B1474" s="83" t="s">
        <v>9</v>
      </c>
      <c r="C1474" s="83" t="s">
        <v>6332</v>
      </c>
      <c r="D1474" s="83" t="s">
        <v>6333</v>
      </c>
      <c r="E1474" s="84" t="s">
        <v>6334</v>
      </c>
      <c r="F1474" s="83" t="s">
        <v>6335</v>
      </c>
      <c r="G1474" s="83" t="s">
        <v>176</v>
      </c>
      <c r="H1474" s="83"/>
    </row>
    <row r="1475" customFormat="false" ht="15" hidden="false" customHeight="false" outlineLevel="0" collapsed="false">
      <c r="A1475" s="83" t="n">
        <v>1474</v>
      </c>
      <c r="B1475" s="83" t="s">
        <v>9</v>
      </c>
      <c r="C1475" s="83" t="s">
        <v>6336</v>
      </c>
      <c r="D1475" s="83" t="s">
        <v>6337</v>
      </c>
      <c r="E1475" s="84" t="s">
        <v>6338</v>
      </c>
      <c r="F1475" s="83" t="s">
        <v>6339</v>
      </c>
      <c r="G1475" s="83" t="s">
        <v>176</v>
      </c>
      <c r="H1475" s="83"/>
    </row>
    <row r="1476" customFormat="false" ht="15" hidden="false" customHeight="false" outlineLevel="0" collapsed="false">
      <c r="A1476" s="83" t="n">
        <v>1475</v>
      </c>
      <c r="B1476" s="83" t="s">
        <v>9</v>
      </c>
      <c r="C1476" s="83" t="s">
        <v>6340</v>
      </c>
      <c r="D1476" s="83" t="s">
        <v>6341</v>
      </c>
      <c r="E1476" s="84" t="s">
        <v>6342</v>
      </c>
      <c r="F1476" s="83" t="s">
        <v>6343</v>
      </c>
      <c r="G1476" s="83" t="s">
        <v>176</v>
      </c>
      <c r="H1476" s="83"/>
    </row>
    <row r="1477" customFormat="false" ht="15" hidden="false" customHeight="false" outlineLevel="0" collapsed="false">
      <c r="A1477" s="83" t="n">
        <v>1476</v>
      </c>
      <c r="B1477" s="83" t="s">
        <v>9</v>
      </c>
      <c r="C1477" s="83" t="s">
        <v>6344</v>
      </c>
      <c r="D1477" s="83" t="s">
        <v>6345</v>
      </c>
      <c r="E1477" s="84" t="s">
        <v>6346</v>
      </c>
      <c r="F1477" s="83" t="s">
        <v>6347</v>
      </c>
      <c r="G1477" s="83" t="s">
        <v>176</v>
      </c>
      <c r="H1477" s="83"/>
    </row>
    <row r="1478" customFormat="false" ht="15" hidden="false" customHeight="false" outlineLevel="0" collapsed="false">
      <c r="A1478" s="83" t="n">
        <v>1477</v>
      </c>
      <c r="B1478" s="83" t="s">
        <v>9</v>
      </c>
      <c r="C1478" s="83" t="s">
        <v>6348</v>
      </c>
      <c r="D1478" s="83" t="s">
        <v>6349</v>
      </c>
      <c r="E1478" s="84" t="s">
        <v>6350</v>
      </c>
      <c r="F1478" s="83" t="s">
        <v>6351</v>
      </c>
      <c r="G1478" s="83" t="s">
        <v>176</v>
      </c>
      <c r="H1478" s="83"/>
    </row>
    <row r="1479" customFormat="false" ht="15" hidden="false" customHeight="false" outlineLevel="0" collapsed="false">
      <c r="A1479" s="83" t="n">
        <v>1478</v>
      </c>
      <c r="B1479" s="83" t="s">
        <v>9</v>
      </c>
      <c r="C1479" s="83" t="s">
        <v>6352</v>
      </c>
      <c r="D1479" s="83" t="s">
        <v>6353</v>
      </c>
      <c r="E1479" s="84" t="s">
        <v>6354</v>
      </c>
      <c r="F1479" s="83" t="s">
        <v>6355</v>
      </c>
      <c r="G1479" s="83" t="s">
        <v>176</v>
      </c>
      <c r="H1479" s="83"/>
    </row>
    <row r="1480" customFormat="false" ht="15" hidden="false" customHeight="false" outlineLevel="0" collapsed="false">
      <c r="A1480" s="83" t="n">
        <v>1479</v>
      </c>
      <c r="B1480" s="83" t="s">
        <v>9</v>
      </c>
      <c r="C1480" s="83" t="s">
        <v>6356</v>
      </c>
      <c r="D1480" s="83" t="s">
        <v>6357</v>
      </c>
      <c r="E1480" s="84" t="s">
        <v>6358</v>
      </c>
      <c r="F1480" s="83" t="s">
        <v>6359</v>
      </c>
      <c r="G1480" s="83" t="s">
        <v>176</v>
      </c>
      <c r="H1480" s="83"/>
    </row>
    <row r="1481" customFormat="false" ht="15" hidden="false" customHeight="false" outlineLevel="0" collapsed="false">
      <c r="A1481" s="83" t="n">
        <v>1480</v>
      </c>
      <c r="B1481" s="83" t="s">
        <v>9</v>
      </c>
      <c r="C1481" s="83" t="s">
        <v>6360</v>
      </c>
      <c r="D1481" s="83" t="s">
        <v>6361</v>
      </c>
      <c r="E1481" s="84" t="s">
        <v>6362</v>
      </c>
      <c r="F1481" s="83" t="s">
        <v>6363</v>
      </c>
      <c r="G1481" s="83" t="s">
        <v>176</v>
      </c>
      <c r="H1481" s="83"/>
    </row>
    <row r="1482" customFormat="false" ht="15" hidden="false" customHeight="false" outlineLevel="0" collapsed="false">
      <c r="A1482" s="83" t="n">
        <v>1481</v>
      </c>
      <c r="B1482" s="83" t="s">
        <v>9</v>
      </c>
      <c r="C1482" s="83" t="s">
        <v>6364</v>
      </c>
      <c r="D1482" s="83" t="s">
        <v>6365</v>
      </c>
      <c r="E1482" s="84" t="s">
        <v>6366</v>
      </c>
      <c r="F1482" s="83" t="s">
        <v>6367</v>
      </c>
      <c r="G1482" s="83" t="s">
        <v>176</v>
      </c>
      <c r="H1482" s="83"/>
    </row>
    <row r="1483" customFormat="false" ht="15" hidden="false" customHeight="false" outlineLevel="0" collapsed="false">
      <c r="A1483" s="83" t="n">
        <v>1482</v>
      </c>
      <c r="B1483" s="83" t="s">
        <v>9</v>
      </c>
      <c r="C1483" s="83" t="s">
        <v>6368</v>
      </c>
      <c r="D1483" s="83" t="s">
        <v>6369</v>
      </c>
      <c r="E1483" s="84" t="s">
        <v>6370</v>
      </c>
      <c r="F1483" s="83" t="s">
        <v>6371</v>
      </c>
      <c r="G1483" s="83" t="s">
        <v>176</v>
      </c>
      <c r="H1483" s="83"/>
    </row>
    <row r="1484" customFormat="false" ht="15" hidden="false" customHeight="false" outlineLevel="0" collapsed="false">
      <c r="A1484" s="83" t="n">
        <v>1483</v>
      </c>
      <c r="B1484" s="83" t="s">
        <v>9</v>
      </c>
      <c r="C1484" s="83" t="s">
        <v>6372</v>
      </c>
      <c r="D1484" s="83" t="s">
        <v>6373</v>
      </c>
      <c r="E1484" s="84" t="s">
        <v>6374</v>
      </c>
      <c r="F1484" s="83" t="s">
        <v>6375</v>
      </c>
      <c r="G1484" s="83" t="s">
        <v>176</v>
      </c>
      <c r="H1484" s="83"/>
    </row>
    <row r="1485" customFormat="false" ht="15" hidden="false" customHeight="false" outlineLevel="0" collapsed="false">
      <c r="A1485" s="83" t="n">
        <v>1484</v>
      </c>
      <c r="B1485" s="83" t="s">
        <v>9</v>
      </c>
      <c r="C1485" s="83" t="s">
        <v>6376</v>
      </c>
      <c r="D1485" s="83" t="s">
        <v>6377</v>
      </c>
      <c r="E1485" s="84" t="s">
        <v>6378</v>
      </c>
      <c r="F1485" s="83" t="s">
        <v>6379</v>
      </c>
      <c r="G1485" s="83" t="s">
        <v>176</v>
      </c>
      <c r="H1485" s="83"/>
    </row>
    <row r="1486" customFormat="false" ht="15" hidden="false" customHeight="false" outlineLevel="0" collapsed="false">
      <c r="A1486" s="83" t="n">
        <v>1485</v>
      </c>
      <c r="B1486" s="83" t="s">
        <v>9</v>
      </c>
      <c r="C1486" s="83" t="s">
        <v>6380</v>
      </c>
      <c r="D1486" s="83" t="s">
        <v>6381</v>
      </c>
      <c r="E1486" s="84" t="s">
        <v>6382</v>
      </c>
      <c r="F1486" s="83" t="s">
        <v>6383</v>
      </c>
      <c r="G1486" s="83" t="s">
        <v>176</v>
      </c>
      <c r="H1486" s="83"/>
    </row>
    <row r="1487" customFormat="false" ht="15" hidden="false" customHeight="false" outlineLevel="0" collapsed="false">
      <c r="A1487" s="83" t="n">
        <v>1486</v>
      </c>
      <c r="B1487" s="83" t="s">
        <v>9</v>
      </c>
      <c r="C1487" s="83" t="s">
        <v>6384</v>
      </c>
      <c r="D1487" s="83" t="s">
        <v>6385</v>
      </c>
      <c r="E1487" s="84" t="s">
        <v>6386</v>
      </c>
      <c r="F1487" s="83" t="s">
        <v>6387</v>
      </c>
      <c r="G1487" s="83" t="s">
        <v>176</v>
      </c>
      <c r="H1487" s="83"/>
    </row>
    <row r="1488" customFormat="false" ht="15" hidden="false" customHeight="false" outlineLevel="0" collapsed="false">
      <c r="A1488" s="83" t="n">
        <v>1487</v>
      </c>
      <c r="B1488" s="83" t="s">
        <v>9</v>
      </c>
      <c r="C1488" s="83" t="s">
        <v>6388</v>
      </c>
      <c r="D1488" s="83" t="s">
        <v>6389</v>
      </c>
      <c r="E1488" s="84" t="s">
        <v>6390</v>
      </c>
      <c r="F1488" s="83" t="s">
        <v>6391</v>
      </c>
      <c r="G1488" s="83" t="s">
        <v>176</v>
      </c>
      <c r="H1488" s="83"/>
    </row>
    <row r="1489" customFormat="false" ht="15" hidden="false" customHeight="false" outlineLevel="0" collapsed="false">
      <c r="A1489" s="83" t="n">
        <v>1488</v>
      </c>
      <c r="B1489" s="83" t="s">
        <v>9</v>
      </c>
      <c r="C1489" s="83" t="s">
        <v>6392</v>
      </c>
      <c r="D1489" s="83" t="s">
        <v>6393</v>
      </c>
      <c r="E1489" s="84" t="s">
        <v>6394</v>
      </c>
      <c r="F1489" s="83" t="s">
        <v>6395</v>
      </c>
      <c r="G1489" s="83" t="s">
        <v>176</v>
      </c>
      <c r="H1489" s="83"/>
    </row>
    <row r="1490" customFormat="false" ht="15" hidden="false" customHeight="false" outlineLevel="0" collapsed="false">
      <c r="A1490" s="83" t="n">
        <v>1489</v>
      </c>
      <c r="B1490" s="83" t="s">
        <v>9</v>
      </c>
      <c r="C1490" s="83" t="s">
        <v>6396</v>
      </c>
      <c r="D1490" s="83" t="s">
        <v>6397</v>
      </c>
      <c r="E1490" s="84" t="s">
        <v>6398</v>
      </c>
      <c r="F1490" s="83" t="s">
        <v>6399</v>
      </c>
      <c r="G1490" s="83" t="s">
        <v>176</v>
      </c>
      <c r="H1490" s="83"/>
    </row>
    <row r="1491" customFormat="false" ht="15" hidden="false" customHeight="false" outlineLevel="0" collapsed="false">
      <c r="A1491" s="83" t="n">
        <v>1490</v>
      </c>
      <c r="B1491" s="83" t="s">
        <v>9</v>
      </c>
      <c r="C1491" s="83" t="s">
        <v>6400</v>
      </c>
      <c r="D1491" s="83" t="s">
        <v>6401</v>
      </c>
      <c r="E1491" s="84" t="s">
        <v>6402</v>
      </c>
      <c r="F1491" s="83" t="s">
        <v>6403</v>
      </c>
      <c r="G1491" s="83" t="s">
        <v>176</v>
      </c>
      <c r="H1491" s="83"/>
    </row>
    <row r="1492" customFormat="false" ht="15" hidden="false" customHeight="false" outlineLevel="0" collapsed="false">
      <c r="A1492" s="83" t="n">
        <v>1491</v>
      </c>
      <c r="B1492" s="83" t="s">
        <v>9</v>
      </c>
      <c r="C1492" s="83" t="s">
        <v>6404</v>
      </c>
      <c r="D1492" s="83" t="s">
        <v>6405</v>
      </c>
      <c r="E1492" s="84" t="s">
        <v>6406</v>
      </c>
      <c r="F1492" s="83" t="s">
        <v>6407</v>
      </c>
      <c r="G1492" s="83" t="s">
        <v>176</v>
      </c>
      <c r="H1492" s="83"/>
    </row>
    <row r="1493" customFormat="false" ht="15" hidden="false" customHeight="false" outlineLevel="0" collapsed="false">
      <c r="A1493" s="83" t="n">
        <v>1492</v>
      </c>
      <c r="B1493" s="83" t="s">
        <v>9</v>
      </c>
      <c r="C1493" s="83" t="s">
        <v>6408</v>
      </c>
      <c r="D1493" s="83" t="s">
        <v>6409</v>
      </c>
      <c r="E1493" s="84" t="s">
        <v>6410</v>
      </c>
      <c r="F1493" s="83" t="s">
        <v>6411</v>
      </c>
      <c r="G1493" s="83" t="s">
        <v>176</v>
      </c>
      <c r="H1493" s="83"/>
    </row>
    <row r="1494" customFormat="false" ht="15" hidden="false" customHeight="false" outlineLevel="0" collapsed="false">
      <c r="A1494" s="83" t="n">
        <v>1493</v>
      </c>
      <c r="B1494" s="83" t="s">
        <v>9</v>
      </c>
      <c r="C1494" s="83" t="s">
        <v>6412</v>
      </c>
      <c r="D1494" s="83" t="s">
        <v>6413</v>
      </c>
      <c r="E1494" s="84" t="s">
        <v>6414</v>
      </c>
      <c r="F1494" s="83" t="s">
        <v>6415</v>
      </c>
      <c r="G1494" s="83" t="s">
        <v>178</v>
      </c>
      <c r="H1494" s="83"/>
    </row>
    <row r="1495" customFormat="false" ht="15" hidden="false" customHeight="false" outlineLevel="0" collapsed="false">
      <c r="A1495" s="83" t="n">
        <v>1494</v>
      </c>
      <c r="B1495" s="83" t="s">
        <v>9</v>
      </c>
      <c r="C1495" s="83" t="s">
        <v>6416</v>
      </c>
      <c r="D1495" s="83" t="s">
        <v>6417</v>
      </c>
      <c r="E1495" s="84" t="s">
        <v>6418</v>
      </c>
      <c r="F1495" s="83" t="s">
        <v>6419</v>
      </c>
      <c r="G1495" s="83" t="s">
        <v>178</v>
      </c>
      <c r="H1495" s="83"/>
    </row>
    <row r="1496" customFormat="false" ht="15" hidden="false" customHeight="false" outlineLevel="0" collapsed="false">
      <c r="A1496" s="83" t="n">
        <v>1495</v>
      </c>
      <c r="B1496" s="83" t="s">
        <v>9</v>
      </c>
      <c r="C1496" s="83" t="s">
        <v>6420</v>
      </c>
      <c r="D1496" s="83" t="s">
        <v>6421</v>
      </c>
      <c r="E1496" s="84" t="s">
        <v>6422</v>
      </c>
      <c r="F1496" s="83" t="s">
        <v>6423</v>
      </c>
      <c r="G1496" s="83" t="s">
        <v>178</v>
      </c>
      <c r="H1496" s="83"/>
    </row>
    <row r="1497" customFormat="false" ht="15" hidden="false" customHeight="false" outlineLevel="0" collapsed="false">
      <c r="A1497" s="83" t="n">
        <v>1496</v>
      </c>
      <c r="B1497" s="83" t="s">
        <v>9</v>
      </c>
      <c r="C1497" s="83" t="s">
        <v>6424</v>
      </c>
      <c r="D1497" s="83" t="s">
        <v>6425</v>
      </c>
      <c r="E1497" s="84" t="s">
        <v>6426</v>
      </c>
      <c r="F1497" s="83" t="s">
        <v>6427</v>
      </c>
      <c r="G1497" s="83" t="s">
        <v>178</v>
      </c>
      <c r="H1497" s="83" t="s">
        <v>6428</v>
      </c>
    </row>
    <row r="1498" customFormat="false" ht="15" hidden="false" customHeight="false" outlineLevel="0" collapsed="false">
      <c r="A1498" s="83" t="n">
        <v>1497</v>
      </c>
      <c r="B1498" s="83" t="s">
        <v>9</v>
      </c>
      <c r="C1498" s="83" t="s">
        <v>6429</v>
      </c>
      <c r="D1498" s="83" t="s">
        <v>6430</v>
      </c>
      <c r="E1498" s="84" t="s">
        <v>6431</v>
      </c>
      <c r="F1498" s="83" t="s">
        <v>6432</v>
      </c>
      <c r="G1498" s="83" t="s">
        <v>178</v>
      </c>
      <c r="H1498" s="83"/>
    </row>
    <row r="1499" customFormat="false" ht="15" hidden="false" customHeight="false" outlineLevel="0" collapsed="false">
      <c r="A1499" s="83" t="n">
        <v>1498</v>
      </c>
      <c r="B1499" s="83" t="s">
        <v>9</v>
      </c>
      <c r="C1499" s="83" t="s">
        <v>6433</v>
      </c>
      <c r="D1499" s="83" t="s">
        <v>6434</v>
      </c>
      <c r="E1499" s="84" t="s">
        <v>6435</v>
      </c>
      <c r="F1499" s="83" t="s">
        <v>6436</v>
      </c>
      <c r="G1499" s="83" t="s">
        <v>178</v>
      </c>
      <c r="H1499" s="83"/>
    </row>
    <row r="1500" customFormat="false" ht="15" hidden="false" customHeight="false" outlineLevel="0" collapsed="false">
      <c r="A1500" s="83" t="n">
        <v>1499</v>
      </c>
      <c r="B1500" s="83" t="s">
        <v>9</v>
      </c>
      <c r="C1500" s="83" t="s">
        <v>6437</v>
      </c>
      <c r="D1500" s="83" t="s">
        <v>6438</v>
      </c>
      <c r="E1500" s="84" t="s">
        <v>6439</v>
      </c>
      <c r="F1500" s="83" t="s">
        <v>6440</v>
      </c>
      <c r="G1500" s="83" t="s">
        <v>178</v>
      </c>
      <c r="H1500" s="83"/>
    </row>
    <row r="1501" customFormat="false" ht="15" hidden="false" customHeight="false" outlineLevel="0" collapsed="false">
      <c r="A1501" s="83" t="n">
        <v>1500</v>
      </c>
      <c r="B1501" s="83" t="s">
        <v>9</v>
      </c>
      <c r="C1501" s="83" t="s">
        <v>6441</v>
      </c>
      <c r="D1501" s="83" t="s">
        <v>6442</v>
      </c>
      <c r="E1501" s="84" t="s">
        <v>6443</v>
      </c>
      <c r="F1501" s="83" t="s">
        <v>6444</v>
      </c>
      <c r="G1501" s="83" t="s">
        <v>178</v>
      </c>
      <c r="H1501" s="83"/>
    </row>
    <row r="1502" customFormat="false" ht="15" hidden="false" customHeight="false" outlineLevel="0" collapsed="false">
      <c r="A1502" s="83" t="n">
        <v>1501</v>
      </c>
      <c r="B1502" s="83" t="s">
        <v>9</v>
      </c>
      <c r="C1502" s="83" t="s">
        <v>6445</v>
      </c>
      <c r="D1502" s="83" t="s">
        <v>6446</v>
      </c>
      <c r="E1502" s="84" t="s">
        <v>6447</v>
      </c>
      <c r="F1502" s="83" t="s">
        <v>6448</v>
      </c>
      <c r="G1502" s="83" t="s">
        <v>178</v>
      </c>
      <c r="H1502" s="83"/>
    </row>
    <row r="1503" customFormat="false" ht="15" hidden="false" customHeight="false" outlineLevel="0" collapsed="false">
      <c r="A1503" s="83" t="n">
        <v>1502</v>
      </c>
      <c r="B1503" s="83" t="s">
        <v>9</v>
      </c>
      <c r="C1503" s="83" t="s">
        <v>6449</v>
      </c>
      <c r="D1503" s="83" t="s">
        <v>6450</v>
      </c>
      <c r="E1503" s="84" t="s">
        <v>6451</v>
      </c>
      <c r="F1503" s="83" t="s">
        <v>6452</v>
      </c>
      <c r="G1503" s="83" t="s">
        <v>178</v>
      </c>
      <c r="H1503" s="83"/>
    </row>
    <row r="1504" customFormat="false" ht="15" hidden="false" customHeight="false" outlineLevel="0" collapsed="false">
      <c r="A1504" s="83" t="n">
        <v>1503</v>
      </c>
      <c r="B1504" s="83" t="s">
        <v>9</v>
      </c>
      <c r="C1504" s="83" t="s">
        <v>6453</v>
      </c>
      <c r="D1504" s="83" t="s">
        <v>6454</v>
      </c>
      <c r="E1504" s="84" t="s">
        <v>6455</v>
      </c>
      <c r="F1504" s="83" t="s">
        <v>6456</v>
      </c>
      <c r="G1504" s="83" t="s">
        <v>180</v>
      </c>
      <c r="H1504" s="83"/>
    </row>
    <row r="1505" customFormat="false" ht="15" hidden="false" customHeight="false" outlineLevel="0" collapsed="false">
      <c r="A1505" s="83" t="n">
        <v>1504</v>
      </c>
      <c r="B1505" s="83" t="s">
        <v>9</v>
      </c>
      <c r="C1505" s="83" t="s">
        <v>6457</v>
      </c>
      <c r="D1505" s="83" t="s">
        <v>6458</v>
      </c>
      <c r="E1505" s="84" t="s">
        <v>6459</v>
      </c>
      <c r="F1505" s="83" t="s">
        <v>6460</v>
      </c>
      <c r="G1505" s="83" t="s">
        <v>180</v>
      </c>
      <c r="H1505" s="83"/>
    </row>
    <row r="1506" customFormat="false" ht="15" hidden="false" customHeight="false" outlineLevel="0" collapsed="false">
      <c r="A1506" s="83" t="n">
        <v>1505</v>
      </c>
      <c r="B1506" s="83" t="s">
        <v>9</v>
      </c>
      <c r="C1506" s="83" t="s">
        <v>6461</v>
      </c>
      <c r="D1506" s="83" t="s">
        <v>6462</v>
      </c>
      <c r="E1506" s="84" t="s">
        <v>3868</v>
      </c>
      <c r="F1506" s="83" t="s">
        <v>3869</v>
      </c>
      <c r="G1506" s="83" t="s">
        <v>180</v>
      </c>
      <c r="H1506" s="83"/>
    </row>
    <row r="1507" customFormat="false" ht="15" hidden="false" customHeight="false" outlineLevel="0" collapsed="false">
      <c r="A1507" s="83" t="n">
        <v>1506</v>
      </c>
      <c r="B1507" s="83" t="s">
        <v>9</v>
      </c>
      <c r="C1507" s="83" t="s">
        <v>6463</v>
      </c>
      <c r="D1507" s="83" t="s">
        <v>6464</v>
      </c>
      <c r="E1507" s="84" t="s">
        <v>6465</v>
      </c>
      <c r="F1507" s="83" t="s">
        <v>6466</v>
      </c>
      <c r="G1507" s="83" t="s">
        <v>180</v>
      </c>
      <c r="H1507" s="83"/>
    </row>
    <row r="1508" customFormat="false" ht="15" hidden="false" customHeight="false" outlineLevel="0" collapsed="false">
      <c r="A1508" s="83" t="n">
        <v>1507</v>
      </c>
      <c r="B1508" s="83" t="s">
        <v>9</v>
      </c>
      <c r="C1508" s="83" t="s">
        <v>6467</v>
      </c>
      <c r="D1508" s="83" t="s">
        <v>6468</v>
      </c>
      <c r="E1508" s="84" t="s">
        <v>6469</v>
      </c>
      <c r="F1508" s="83" t="s">
        <v>6470</v>
      </c>
      <c r="G1508" s="83" t="s">
        <v>180</v>
      </c>
      <c r="H1508" s="83" t="s">
        <v>6471</v>
      </c>
    </row>
    <row r="1509" customFormat="false" ht="15" hidden="false" customHeight="false" outlineLevel="0" collapsed="false">
      <c r="A1509" s="83" t="n">
        <v>1508</v>
      </c>
      <c r="B1509" s="83" t="s">
        <v>9</v>
      </c>
      <c r="C1509" s="83" t="s">
        <v>6472</v>
      </c>
      <c r="D1509" s="83" t="s">
        <v>6473</v>
      </c>
      <c r="E1509" s="84" t="s">
        <v>6474</v>
      </c>
      <c r="F1509" s="83" t="s">
        <v>6475</v>
      </c>
      <c r="G1509" s="83" t="s">
        <v>180</v>
      </c>
      <c r="H1509" s="83"/>
    </row>
    <row r="1510" customFormat="false" ht="15" hidden="false" customHeight="false" outlineLevel="0" collapsed="false">
      <c r="A1510" s="83" t="n">
        <v>1509</v>
      </c>
      <c r="B1510" s="83" t="s">
        <v>9</v>
      </c>
      <c r="C1510" s="83" t="s">
        <v>6476</v>
      </c>
      <c r="D1510" s="83" t="s">
        <v>6477</v>
      </c>
      <c r="E1510" s="84" t="s">
        <v>4362</v>
      </c>
      <c r="F1510" s="83" t="s">
        <v>4363</v>
      </c>
      <c r="G1510" s="83" t="s">
        <v>180</v>
      </c>
      <c r="H1510" s="83"/>
    </row>
    <row r="1511" customFormat="false" ht="15" hidden="false" customHeight="false" outlineLevel="0" collapsed="false">
      <c r="A1511" s="83" t="n">
        <v>1510</v>
      </c>
      <c r="B1511" s="83" t="s">
        <v>9</v>
      </c>
      <c r="C1511" s="83" t="s">
        <v>6478</v>
      </c>
      <c r="D1511" s="83" t="s">
        <v>6479</v>
      </c>
      <c r="E1511" s="84" t="s">
        <v>6480</v>
      </c>
      <c r="F1511" s="83" t="s">
        <v>6481</v>
      </c>
      <c r="G1511" s="83" t="s">
        <v>180</v>
      </c>
      <c r="H1511" s="83"/>
    </row>
    <row r="1512" customFormat="false" ht="15" hidden="false" customHeight="false" outlineLevel="0" collapsed="false">
      <c r="A1512" s="83" t="n">
        <v>1511</v>
      </c>
      <c r="B1512" s="83" t="s">
        <v>9</v>
      </c>
      <c r="C1512" s="83" t="s">
        <v>6482</v>
      </c>
      <c r="D1512" s="83" t="s">
        <v>6483</v>
      </c>
      <c r="E1512" s="84" t="s">
        <v>6484</v>
      </c>
      <c r="F1512" s="83" t="s">
        <v>6485</v>
      </c>
      <c r="G1512" s="83" t="s">
        <v>180</v>
      </c>
      <c r="H1512" s="83"/>
    </row>
    <row r="1513" customFormat="false" ht="15" hidden="false" customHeight="false" outlineLevel="0" collapsed="false">
      <c r="A1513" s="83" t="n">
        <v>1512</v>
      </c>
      <c r="B1513" s="83" t="s">
        <v>9</v>
      </c>
      <c r="C1513" s="83" t="s">
        <v>6486</v>
      </c>
      <c r="D1513" s="83" t="s">
        <v>6487</v>
      </c>
      <c r="E1513" s="84" t="s">
        <v>6488</v>
      </c>
      <c r="F1513" s="83" t="s">
        <v>6489</v>
      </c>
      <c r="G1513" s="83" t="s">
        <v>180</v>
      </c>
      <c r="H1513" s="83"/>
    </row>
    <row r="1514" customFormat="false" ht="15" hidden="false" customHeight="false" outlineLevel="0" collapsed="false">
      <c r="A1514" s="83" t="n">
        <v>1513</v>
      </c>
      <c r="B1514" s="83" t="s">
        <v>9</v>
      </c>
      <c r="C1514" s="83" t="s">
        <v>6490</v>
      </c>
      <c r="D1514" s="83" t="s">
        <v>6491</v>
      </c>
      <c r="E1514" s="84" t="s">
        <v>6492</v>
      </c>
      <c r="F1514" s="83" t="s">
        <v>6493</v>
      </c>
      <c r="G1514" s="83" t="s">
        <v>180</v>
      </c>
      <c r="H1514" s="83"/>
    </row>
    <row r="1515" customFormat="false" ht="15" hidden="false" customHeight="false" outlineLevel="0" collapsed="false">
      <c r="A1515" s="83" t="n">
        <v>1514</v>
      </c>
      <c r="B1515" s="83" t="s">
        <v>9</v>
      </c>
      <c r="C1515" s="83" t="s">
        <v>6494</v>
      </c>
      <c r="D1515" s="83" t="s">
        <v>6495</v>
      </c>
      <c r="E1515" s="84" t="s">
        <v>6496</v>
      </c>
      <c r="F1515" s="83" t="s">
        <v>6497</v>
      </c>
      <c r="G1515" s="83" t="s">
        <v>180</v>
      </c>
      <c r="H1515" s="83"/>
    </row>
    <row r="1516" customFormat="false" ht="15" hidden="false" customHeight="false" outlineLevel="0" collapsed="false">
      <c r="A1516" s="83" t="n">
        <v>1515</v>
      </c>
      <c r="B1516" s="83" t="s">
        <v>9</v>
      </c>
      <c r="C1516" s="83" t="s">
        <v>6498</v>
      </c>
      <c r="D1516" s="83" t="s">
        <v>6499</v>
      </c>
      <c r="E1516" s="84" t="s">
        <v>6500</v>
      </c>
      <c r="F1516" s="83" t="s">
        <v>6501</v>
      </c>
      <c r="G1516" s="83" t="s">
        <v>180</v>
      </c>
      <c r="H1516" s="83"/>
    </row>
    <row r="1517" customFormat="false" ht="15" hidden="false" customHeight="false" outlineLevel="0" collapsed="false">
      <c r="A1517" s="83" t="n">
        <v>1516</v>
      </c>
      <c r="B1517" s="83" t="s">
        <v>9</v>
      </c>
      <c r="C1517" s="83" t="s">
        <v>6502</v>
      </c>
      <c r="D1517" s="83" t="s">
        <v>6503</v>
      </c>
      <c r="E1517" s="84" t="s">
        <v>6504</v>
      </c>
      <c r="F1517" s="83" t="s">
        <v>6505</v>
      </c>
      <c r="G1517" s="83" t="s">
        <v>180</v>
      </c>
      <c r="H1517" s="83" t="s">
        <v>6506</v>
      </c>
    </row>
    <row r="1518" customFormat="false" ht="15" hidden="false" customHeight="false" outlineLevel="0" collapsed="false">
      <c r="A1518" s="83" t="n">
        <v>1517</v>
      </c>
      <c r="B1518" s="83" t="s">
        <v>9</v>
      </c>
      <c r="C1518" s="83" t="s">
        <v>6507</v>
      </c>
      <c r="D1518" s="83" t="s">
        <v>6508</v>
      </c>
      <c r="E1518" s="84" t="s">
        <v>6509</v>
      </c>
      <c r="F1518" s="83" t="s">
        <v>6510</v>
      </c>
      <c r="G1518" s="83" t="s">
        <v>180</v>
      </c>
      <c r="H1518" s="83" t="s">
        <v>6511</v>
      </c>
    </row>
    <row r="1519" customFormat="false" ht="15" hidden="false" customHeight="false" outlineLevel="0" collapsed="false">
      <c r="A1519" s="83" t="n">
        <v>1518</v>
      </c>
      <c r="B1519" s="83" t="s">
        <v>9</v>
      </c>
      <c r="C1519" s="83" t="s">
        <v>6512</v>
      </c>
      <c r="D1519" s="83" t="s">
        <v>6513</v>
      </c>
      <c r="E1519" s="84" t="s">
        <v>6514</v>
      </c>
      <c r="F1519" s="83" t="s">
        <v>6515</v>
      </c>
      <c r="G1519" s="83" t="s">
        <v>180</v>
      </c>
      <c r="H1519" s="83"/>
    </row>
    <row r="1520" customFormat="false" ht="15" hidden="false" customHeight="false" outlineLevel="0" collapsed="false">
      <c r="A1520" s="83" t="n">
        <v>1519</v>
      </c>
      <c r="B1520" s="83" t="s">
        <v>9</v>
      </c>
      <c r="C1520" s="83" t="s">
        <v>6516</v>
      </c>
      <c r="D1520" s="83" t="s">
        <v>6517</v>
      </c>
      <c r="E1520" s="84" t="s">
        <v>6518</v>
      </c>
      <c r="F1520" s="83" t="s">
        <v>6519</v>
      </c>
      <c r="G1520" s="83" t="s">
        <v>180</v>
      </c>
      <c r="H1520" s="83" t="s">
        <v>6520</v>
      </c>
    </row>
    <row r="1521" customFormat="false" ht="15" hidden="false" customHeight="false" outlineLevel="0" collapsed="false">
      <c r="A1521" s="83" t="n">
        <v>1520</v>
      </c>
      <c r="B1521" s="83" t="s">
        <v>9</v>
      </c>
      <c r="C1521" s="83" t="s">
        <v>6521</v>
      </c>
      <c r="D1521" s="83" t="s">
        <v>6522</v>
      </c>
      <c r="E1521" s="84" t="s">
        <v>6523</v>
      </c>
      <c r="F1521" s="83" t="s">
        <v>6524</v>
      </c>
      <c r="G1521" s="83" t="s">
        <v>180</v>
      </c>
      <c r="H1521" s="83" t="s">
        <v>6525</v>
      </c>
    </row>
    <row r="1522" customFormat="false" ht="15" hidden="false" customHeight="false" outlineLevel="0" collapsed="false">
      <c r="A1522" s="83" t="n">
        <v>1521</v>
      </c>
      <c r="B1522" s="83" t="s">
        <v>9</v>
      </c>
      <c r="C1522" s="83" t="s">
        <v>6526</v>
      </c>
      <c r="D1522" s="83" t="s">
        <v>6527</v>
      </c>
      <c r="E1522" s="84" t="s">
        <v>6528</v>
      </c>
      <c r="F1522" s="83" t="s">
        <v>6529</v>
      </c>
      <c r="G1522" s="83" t="s">
        <v>180</v>
      </c>
      <c r="H1522" s="83"/>
    </row>
    <row r="1523" customFormat="false" ht="15" hidden="false" customHeight="false" outlineLevel="0" collapsed="false">
      <c r="A1523" s="83" t="n">
        <v>1522</v>
      </c>
      <c r="B1523" s="83" t="s">
        <v>9</v>
      </c>
      <c r="C1523" s="83" t="s">
        <v>6530</v>
      </c>
      <c r="D1523" s="83" t="s">
        <v>6531</v>
      </c>
      <c r="E1523" s="84" t="s">
        <v>6532</v>
      </c>
      <c r="F1523" s="83" t="s">
        <v>6533</v>
      </c>
      <c r="G1523" s="83" t="s">
        <v>180</v>
      </c>
      <c r="H1523" s="83"/>
    </row>
    <row r="1524" customFormat="false" ht="15" hidden="false" customHeight="false" outlineLevel="0" collapsed="false">
      <c r="A1524" s="85" t="n">
        <v>1523</v>
      </c>
      <c r="B1524" s="85" t="s">
        <v>11</v>
      </c>
      <c r="C1524" s="85" t="s">
        <v>6534</v>
      </c>
      <c r="D1524" s="85" t="s">
        <v>6535</v>
      </c>
      <c r="E1524" s="86" t="s">
        <v>6536</v>
      </c>
      <c r="F1524" s="85" t="s">
        <v>6537</v>
      </c>
      <c r="G1524" s="85" t="s">
        <v>186</v>
      </c>
      <c r="H1524" s="85" t="s">
        <v>6538</v>
      </c>
    </row>
    <row r="1525" customFormat="false" ht="15" hidden="false" customHeight="false" outlineLevel="0" collapsed="false">
      <c r="A1525" s="85" t="n">
        <v>1524</v>
      </c>
      <c r="B1525" s="85" t="s">
        <v>11</v>
      </c>
      <c r="C1525" s="85" t="s">
        <v>6539</v>
      </c>
      <c r="D1525" s="85" t="s">
        <v>6540</v>
      </c>
      <c r="E1525" s="86" t="s">
        <v>6541</v>
      </c>
      <c r="F1525" s="85" t="s">
        <v>6542</v>
      </c>
      <c r="G1525" s="85" t="s">
        <v>186</v>
      </c>
      <c r="H1525" s="85" t="s">
        <v>6543</v>
      </c>
    </row>
    <row r="1526" customFormat="false" ht="15" hidden="false" customHeight="false" outlineLevel="0" collapsed="false">
      <c r="A1526" s="85" t="n">
        <v>1525</v>
      </c>
      <c r="B1526" s="85" t="s">
        <v>11</v>
      </c>
      <c r="C1526" s="85" t="s">
        <v>6544</v>
      </c>
      <c r="D1526" s="85" t="s">
        <v>6545</v>
      </c>
      <c r="E1526" s="86" t="s">
        <v>6546</v>
      </c>
      <c r="F1526" s="85" t="s">
        <v>6547</v>
      </c>
      <c r="G1526" s="85" t="s">
        <v>186</v>
      </c>
      <c r="H1526" s="85" t="s">
        <v>6548</v>
      </c>
    </row>
    <row r="1527" customFormat="false" ht="15" hidden="false" customHeight="false" outlineLevel="0" collapsed="false">
      <c r="A1527" s="85" t="n">
        <v>1526</v>
      </c>
      <c r="B1527" s="85" t="s">
        <v>11</v>
      </c>
      <c r="C1527" s="85" t="s">
        <v>6549</v>
      </c>
      <c r="D1527" s="85" t="s">
        <v>6550</v>
      </c>
      <c r="E1527" s="86" t="s">
        <v>6551</v>
      </c>
      <c r="F1527" s="85" t="s">
        <v>6552</v>
      </c>
      <c r="G1527" s="85" t="s">
        <v>186</v>
      </c>
      <c r="H1527" s="85"/>
    </row>
    <row r="1528" customFormat="false" ht="15" hidden="false" customHeight="false" outlineLevel="0" collapsed="false">
      <c r="A1528" s="85" t="n">
        <v>1527</v>
      </c>
      <c r="B1528" s="85" t="s">
        <v>11</v>
      </c>
      <c r="C1528" s="85" t="s">
        <v>6553</v>
      </c>
      <c r="D1528" s="85" t="s">
        <v>6554</v>
      </c>
      <c r="E1528" s="86" t="s">
        <v>6555</v>
      </c>
      <c r="F1528" s="85" t="s">
        <v>6556</v>
      </c>
      <c r="G1528" s="85" t="s">
        <v>186</v>
      </c>
      <c r="H1528" s="85"/>
    </row>
    <row r="1529" customFormat="false" ht="15" hidden="false" customHeight="false" outlineLevel="0" collapsed="false">
      <c r="A1529" s="85" t="n">
        <v>1528</v>
      </c>
      <c r="B1529" s="85" t="s">
        <v>11</v>
      </c>
      <c r="C1529" s="85" t="s">
        <v>6557</v>
      </c>
      <c r="D1529" s="85" t="s">
        <v>6558</v>
      </c>
      <c r="E1529" s="86" t="s">
        <v>6559</v>
      </c>
      <c r="F1529" s="85" t="s">
        <v>6560</v>
      </c>
      <c r="G1529" s="85" t="s">
        <v>186</v>
      </c>
      <c r="H1529" s="85"/>
    </row>
    <row r="1530" customFormat="false" ht="15" hidden="false" customHeight="false" outlineLevel="0" collapsed="false">
      <c r="A1530" s="85" t="n">
        <v>1529</v>
      </c>
      <c r="B1530" s="85" t="s">
        <v>11</v>
      </c>
      <c r="C1530" s="85" t="s">
        <v>6561</v>
      </c>
      <c r="D1530" s="85" t="s">
        <v>6562</v>
      </c>
      <c r="E1530" s="86" t="s">
        <v>6563</v>
      </c>
      <c r="F1530" s="85" t="s">
        <v>6564</v>
      </c>
      <c r="G1530" s="85" t="s">
        <v>186</v>
      </c>
      <c r="H1530" s="85"/>
    </row>
    <row r="1531" customFormat="false" ht="15" hidden="false" customHeight="false" outlineLevel="0" collapsed="false">
      <c r="A1531" s="85" t="n">
        <v>1530</v>
      </c>
      <c r="B1531" s="85" t="s">
        <v>11</v>
      </c>
      <c r="C1531" s="85" t="s">
        <v>6565</v>
      </c>
      <c r="D1531" s="85" t="s">
        <v>6566</v>
      </c>
      <c r="E1531" s="86" t="s">
        <v>6567</v>
      </c>
      <c r="F1531" s="85" t="s">
        <v>6568</v>
      </c>
      <c r="G1531" s="85" t="s">
        <v>186</v>
      </c>
      <c r="H1531" s="85" t="s">
        <v>6569</v>
      </c>
    </row>
    <row r="1532" customFormat="false" ht="15" hidden="false" customHeight="false" outlineLevel="0" collapsed="false">
      <c r="A1532" s="85" t="n">
        <v>1531</v>
      </c>
      <c r="B1532" s="85" t="s">
        <v>11</v>
      </c>
      <c r="C1532" s="85" t="s">
        <v>6570</v>
      </c>
      <c r="D1532" s="85" t="s">
        <v>6571</v>
      </c>
      <c r="E1532" s="86" t="s">
        <v>6572</v>
      </c>
      <c r="F1532" s="85" t="s">
        <v>6573</v>
      </c>
      <c r="G1532" s="85" t="s">
        <v>186</v>
      </c>
      <c r="H1532" s="85" t="s">
        <v>6574</v>
      </c>
    </row>
    <row r="1533" customFormat="false" ht="15" hidden="false" customHeight="false" outlineLevel="0" collapsed="false">
      <c r="A1533" s="85" t="n">
        <v>1532</v>
      </c>
      <c r="B1533" s="85" t="s">
        <v>11</v>
      </c>
      <c r="C1533" s="85" t="s">
        <v>6575</v>
      </c>
      <c r="D1533" s="85" t="s">
        <v>6576</v>
      </c>
      <c r="E1533" s="86" t="s">
        <v>6577</v>
      </c>
      <c r="F1533" s="85" t="s">
        <v>6578</v>
      </c>
      <c r="G1533" s="85" t="s">
        <v>186</v>
      </c>
      <c r="H1533" s="85" t="s">
        <v>6579</v>
      </c>
    </row>
    <row r="1534" customFormat="false" ht="15" hidden="false" customHeight="false" outlineLevel="0" collapsed="false">
      <c r="A1534" s="85" t="n">
        <v>1533</v>
      </c>
      <c r="B1534" s="85" t="s">
        <v>11</v>
      </c>
      <c r="C1534" s="85" t="s">
        <v>6580</v>
      </c>
      <c r="D1534" s="85" t="s">
        <v>6581</v>
      </c>
      <c r="E1534" s="86" t="s">
        <v>6582</v>
      </c>
      <c r="F1534" s="85" t="s">
        <v>6583</v>
      </c>
      <c r="G1534" s="85" t="s">
        <v>186</v>
      </c>
      <c r="H1534" s="85"/>
    </row>
    <row r="1535" customFormat="false" ht="15" hidden="false" customHeight="false" outlineLevel="0" collapsed="false">
      <c r="A1535" s="85" t="n">
        <v>1534</v>
      </c>
      <c r="B1535" s="85" t="s">
        <v>11</v>
      </c>
      <c r="C1535" s="85" t="s">
        <v>6584</v>
      </c>
      <c r="D1535" s="85" t="s">
        <v>6585</v>
      </c>
      <c r="E1535" s="86" t="s">
        <v>6586</v>
      </c>
      <c r="F1535" s="85" t="s">
        <v>6587</v>
      </c>
      <c r="G1535" s="85" t="s">
        <v>186</v>
      </c>
      <c r="H1535" s="85" t="s">
        <v>6588</v>
      </c>
    </row>
    <row r="1536" customFormat="false" ht="15" hidden="false" customHeight="false" outlineLevel="0" collapsed="false">
      <c r="A1536" s="85" t="n">
        <v>1535</v>
      </c>
      <c r="B1536" s="85" t="s">
        <v>11</v>
      </c>
      <c r="C1536" s="85" t="s">
        <v>6589</v>
      </c>
      <c r="D1536" s="85" t="s">
        <v>6590</v>
      </c>
      <c r="E1536" s="86" t="s">
        <v>6591</v>
      </c>
      <c r="F1536" s="85" t="s">
        <v>6592</v>
      </c>
      <c r="G1536" s="85" t="s">
        <v>186</v>
      </c>
      <c r="H1536" s="85" t="s">
        <v>6593</v>
      </c>
    </row>
    <row r="1537" customFormat="false" ht="15" hidden="false" customHeight="false" outlineLevel="0" collapsed="false">
      <c r="A1537" s="85" t="n">
        <v>1536</v>
      </c>
      <c r="B1537" s="85" t="s">
        <v>11</v>
      </c>
      <c r="C1537" s="85" t="s">
        <v>6594</v>
      </c>
      <c r="D1537" s="85" t="s">
        <v>6595</v>
      </c>
      <c r="E1537" s="86" t="s">
        <v>6596</v>
      </c>
      <c r="F1537" s="85" t="s">
        <v>6597</v>
      </c>
      <c r="G1537" s="85" t="s">
        <v>186</v>
      </c>
      <c r="H1537" s="85" t="s">
        <v>6598</v>
      </c>
    </row>
    <row r="1538" customFormat="false" ht="15" hidden="false" customHeight="false" outlineLevel="0" collapsed="false">
      <c r="A1538" s="85" t="n">
        <v>1537</v>
      </c>
      <c r="B1538" s="85" t="s">
        <v>11</v>
      </c>
      <c r="C1538" s="85" t="s">
        <v>6599</v>
      </c>
      <c r="D1538" s="85" t="s">
        <v>6600</v>
      </c>
      <c r="E1538" s="86" t="s">
        <v>6601</v>
      </c>
      <c r="F1538" s="85" t="s">
        <v>6602</v>
      </c>
      <c r="G1538" s="85" t="s">
        <v>186</v>
      </c>
      <c r="H1538" s="85" t="s">
        <v>6603</v>
      </c>
    </row>
    <row r="1539" customFormat="false" ht="15" hidden="false" customHeight="false" outlineLevel="0" collapsed="false">
      <c r="A1539" s="85" t="n">
        <v>1538</v>
      </c>
      <c r="B1539" s="85" t="s">
        <v>11</v>
      </c>
      <c r="C1539" s="85" t="s">
        <v>6604</v>
      </c>
      <c r="D1539" s="85" t="s">
        <v>6605</v>
      </c>
      <c r="E1539" s="86" t="s">
        <v>6606</v>
      </c>
      <c r="F1539" s="85" t="s">
        <v>6607</v>
      </c>
      <c r="G1539" s="85" t="s">
        <v>186</v>
      </c>
      <c r="H1539" s="85"/>
    </row>
    <row r="1540" customFormat="false" ht="15" hidden="false" customHeight="false" outlineLevel="0" collapsed="false">
      <c r="A1540" s="85" t="n">
        <v>1539</v>
      </c>
      <c r="B1540" s="85" t="s">
        <v>11</v>
      </c>
      <c r="C1540" s="85" t="s">
        <v>6608</v>
      </c>
      <c r="D1540" s="85" t="s">
        <v>6609</v>
      </c>
      <c r="E1540" s="86" t="s">
        <v>6610</v>
      </c>
      <c r="F1540" s="85" t="s">
        <v>6611</v>
      </c>
      <c r="G1540" s="85" t="s">
        <v>186</v>
      </c>
      <c r="H1540" s="85"/>
    </row>
    <row r="1541" customFormat="false" ht="15" hidden="false" customHeight="false" outlineLevel="0" collapsed="false">
      <c r="A1541" s="85" t="n">
        <v>1540</v>
      </c>
      <c r="B1541" s="85" t="s">
        <v>11</v>
      </c>
      <c r="C1541" s="85" t="s">
        <v>6612</v>
      </c>
      <c r="D1541" s="85" t="s">
        <v>6613</v>
      </c>
      <c r="E1541" s="86" t="s">
        <v>6614</v>
      </c>
      <c r="F1541" s="85" t="s">
        <v>6615</v>
      </c>
      <c r="G1541" s="85" t="s">
        <v>186</v>
      </c>
      <c r="H1541" s="85"/>
    </row>
    <row r="1542" customFormat="false" ht="15" hidden="false" customHeight="false" outlineLevel="0" collapsed="false">
      <c r="A1542" s="85" t="n">
        <v>1541</v>
      </c>
      <c r="B1542" s="85" t="s">
        <v>11</v>
      </c>
      <c r="C1542" s="85" t="s">
        <v>6616</v>
      </c>
      <c r="D1542" s="85" t="s">
        <v>6617</v>
      </c>
      <c r="E1542" s="86" t="s">
        <v>6618</v>
      </c>
      <c r="F1542" s="85" t="s">
        <v>6619</v>
      </c>
      <c r="G1542" s="85" t="s">
        <v>186</v>
      </c>
      <c r="H1542" s="85"/>
    </row>
    <row r="1543" customFormat="false" ht="15" hidden="false" customHeight="false" outlineLevel="0" collapsed="false">
      <c r="A1543" s="85" t="n">
        <v>1542</v>
      </c>
      <c r="B1543" s="85" t="s">
        <v>11</v>
      </c>
      <c r="C1543" s="85" t="s">
        <v>6620</v>
      </c>
      <c r="D1543" s="85" t="s">
        <v>6621</v>
      </c>
      <c r="E1543" s="86" t="s">
        <v>6622</v>
      </c>
      <c r="F1543" s="85" t="s">
        <v>6623</v>
      </c>
      <c r="G1543" s="85" t="s">
        <v>186</v>
      </c>
      <c r="H1543" s="85"/>
    </row>
    <row r="1544" customFormat="false" ht="15" hidden="false" customHeight="false" outlineLevel="0" collapsed="false">
      <c r="A1544" s="85" t="n">
        <v>1543</v>
      </c>
      <c r="B1544" s="85" t="s">
        <v>11</v>
      </c>
      <c r="C1544" s="85" t="s">
        <v>6624</v>
      </c>
      <c r="D1544" s="85" t="s">
        <v>6625</v>
      </c>
      <c r="E1544" s="86" t="s">
        <v>6626</v>
      </c>
      <c r="F1544" s="85" t="s">
        <v>6627</v>
      </c>
      <c r="G1544" s="85" t="s">
        <v>186</v>
      </c>
      <c r="H1544" s="85"/>
    </row>
    <row r="1545" customFormat="false" ht="15" hidden="false" customHeight="false" outlineLevel="0" collapsed="false">
      <c r="A1545" s="85" t="n">
        <v>1544</v>
      </c>
      <c r="B1545" s="85" t="s">
        <v>11</v>
      </c>
      <c r="C1545" s="85" t="s">
        <v>6628</v>
      </c>
      <c r="D1545" s="85" t="s">
        <v>6629</v>
      </c>
      <c r="E1545" s="86" t="s">
        <v>6630</v>
      </c>
      <c r="F1545" s="85" t="s">
        <v>6631</v>
      </c>
      <c r="G1545" s="85" t="s">
        <v>186</v>
      </c>
      <c r="H1545" s="85"/>
    </row>
    <row r="1546" customFormat="false" ht="15" hidden="false" customHeight="false" outlineLevel="0" collapsed="false">
      <c r="A1546" s="85" t="n">
        <v>1545</v>
      </c>
      <c r="B1546" s="85" t="s">
        <v>11</v>
      </c>
      <c r="C1546" s="85" t="s">
        <v>6632</v>
      </c>
      <c r="D1546" s="85" t="s">
        <v>6633</v>
      </c>
      <c r="E1546" s="86" t="s">
        <v>6634</v>
      </c>
      <c r="F1546" s="85" t="s">
        <v>6635</v>
      </c>
      <c r="G1546" s="85" t="s">
        <v>186</v>
      </c>
      <c r="H1546" s="85"/>
    </row>
    <row r="1547" customFormat="false" ht="15" hidden="false" customHeight="false" outlineLevel="0" collapsed="false">
      <c r="A1547" s="85" t="n">
        <v>1546</v>
      </c>
      <c r="B1547" s="85" t="s">
        <v>11</v>
      </c>
      <c r="C1547" s="85" t="s">
        <v>6636</v>
      </c>
      <c r="D1547" s="85" t="s">
        <v>6637</v>
      </c>
      <c r="E1547" s="86" t="s">
        <v>6638</v>
      </c>
      <c r="F1547" s="85" t="s">
        <v>6639</v>
      </c>
      <c r="G1547" s="85" t="s">
        <v>186</v>
      </c>
      <c r="H1547" s="85"/>
    </row>
    <row r="1548" customFormat="false" ht="15" hidden="false" customHeight="false" outlineLevel="0" collapsed="false">
      <c r="A1548" s="85" t="n">
        <v>1547</v>
      </c>
      <c r="B1548" s="85" t="s">
        <v>11</v>
      </c>
      <c r="C1548" s="85" t="s">
        <v>6640</v>
      </c>
      <c r="D1548" s="85" t="s">
        <v>6641</v>
      </c>
      <c r="E1548" s="86" t="s">
        <v>4510</v>
      </c>
      <c r="F1548" s="85" t="s">
        <v>4511</v>
      </c>
      <c r="G1548" s="85" t="s">
        <v>188</v>
      </c>
      <c r="H1548" s="85"/>
    </row>
    <row r="1549" customFormat="false" ht="15" hidden="false" customHeight="false" outlineLevel="0" collapsed="false">
      <c r="A1549" s="85" t="n">
        <v>1548</v>
      </c>
      <c r="B1549" s="85" t="s">
        <v>11</v>
      </c>
      <c r="C1549" s="85" t="s">
        <v>6642</v>
      </c>
      <c r="D1549" s="85" t="s">
        <v>6643</v>
      </c>
      <c r="E1549" s="86" t="s">
        <v>4506</v>
      </c>
      <c r="F1549" s="85" t="s">
        <v>4507</v>
      </c>
      <c r="G1549" s="85" t="s">
        <v>188</v>
      </c>
      <c r="H1549" s="85"/>
    </row>
    <row r="1550" customFormat="false" ht="15" hidden="false" customHeight="false" outlineLevel="0" collapsed="false">
      <c r="A1550" s="85" t="n">
        <v>1549</v>
      </c>
      <c r="B1550" s="85" t="s">
        <v>11</v>
      </c>
      <c r="C1550" s="85" t="s">
        <v>6644</v>
      </c>
      <c r="D1550" s="85" t="s">
        <v>6645</v>
      </c>
      <c r="E1550" s="86" t="s">
        <v>6646</v>
      </c>
      <c r="F1550" s="85" t="s">
        <v>6647</v>
      </c>
      <c r="G1550" s="85" t="s">
        <v>188</v>
      </c>
      <c r="H1550" s="85"/>
    </row>
    <row r="1551" customFormat="false" ht="15" hidden="false" customHeight="false" outlineLevel="0" collapsed="false">
      <c r="A1551" s="85" t="n">
        <v>1550</v>
      </c>
      <c r="B1551" s="85" t="s">
        <v>11</v>
      </c>
      <c r="C1551" s="85" t="s">
        <v>6648</v>
      </c>
      <c r="D1551" s="85" t="s">
        <v>6649</v>
      </c>
      <c r="E1551" s="86" t="s">
        <v>6650</v>
      </c>
      <c r="F1551" s="85" t="s">
        <v>6651</v>
      </c>
      <c r="G1551" s="85" t="s">
        <v>188</v>
      </c>
      <c r="H1551" s="85"/>
    </row>
    <row r="1552" customFormat="false" ht="15" hidden="false" customHeight="false" outlineLevel="0" collapsed="false">
      <c r="A1552" s="85" t="n">
        <v>1551</v>
      </c>
      <c r="B1552" s="85" t="s">
        <v>11</v>
      </c>
      <c r="C1552" s="85" t="s">
        <v>6652</v>
      </c>
      <c r="D1552" s="85" t="s">
        <v>6653</v>
      </c>
      <c r="E1552" s="86" t="s">
        <v>6654</v>
      </c>
      <c r="F1552" s="85" t="s">
        <v>6655</v>
      </c>
      <c r="G1552" s="85" t="s">
        <v>188</v>
      </c>
      <c r="H1552" s="85"/>
    </row>
    <row r="1553" customFormat="false" ht="15" hidden="false" customHeight="false" outlineLevel="0" collapsed="false">
      <c r="A1553" s="85" t="n">
        <v>1552</v>
      </c>
      <c r="B1553" s="85" t="s">
        <v>11</v>
      </c>
      <c r="C1553" s="85" t="s">
        <v>6656</v>
      </c>
      <c r="D1553" s="85" t="s">
        <v>6657</v>
      </c>
      <c r="E1553" s="86" t="s">
        <v>6658</v>
      </c>
      <c r="F1553" s="85" t="s">
        <v>6659</v>
      </c>
      <c r="G1553" s="85" t="s">
        <v>188</v>
      </c>
      <c r="H1553" s="85"/>
    </row>
    <row r="1554" customFormat="false" ht="15" hidden="false" customHeight="false" outlineLevel="0" collapsed="false">
      <c r="A1554" s="85" t="n">
        <v>1553</v>
      </c>
      <c r="B1554" s="85" t="s">
        <v>11</v>
      </c>
      <c r="C1554" s="85" t="s">
        <v>6660</v>
      </c>
      <c r="D1554" s="85" t="s">
        <v>6661</v>
      </c>
      <c r="E1554" s="86" t="s">
        <v>6662</v>
      </c>
      <c r="F1554" s="85" t="s">
        <v>6663</v>
      </c>
      <c r="G1554" s="85" t="s">
        <v>188</v>
      </c>
      <c r="H1554" s="85"/>
    </row>
    <row r="1555" customFormat="false" ht="15" hidden="false" customHeight="false" outlineLevel="0" collapsed="false">
      <c r="A1555" s="85" t="n">
        <v>1554</v>
      </c>
      <c r="B1555" s="85" t="s">
        <v>11</v>
      </c>
      <c r="C1555" s="85" t="s">
        <v>6664</v>
      </c>
      <c r="D1555" s="85" t="s">
        <v>6665</v>
      </c>
      <c r="E1555" s="86" t="s">
        <v>6666</v>
      </c>
      <c r="F1555" s="85" t="s">
        <v>6667</v>
      </c>
      <c r="G1555" s="85" t="s">
        <v>188</v>
      </c>
      <c r="H1555" s="85"/>
    </row>
    <row r="1556" customFormat="false" ht="15" hidden="false" customHeight="false" outlineLevel="0" collapsed="false">
      <c r="A1556" s="85" t="n">
        <v>1555</v>
      </c>
      <c r="B1556" s="85" t="s">
        <v>11</v>
      </c>
      <c r="C1556" s="85" t="s">
        <v>6668</v>
      </c>
      <c r="D1556" s="85" t="s">
        <v>6669</v>
      </c>
      <c r="E1556" s="86" t="s">
        <v>6670</v>
      </c>
      <c r="F1556" s="85" t="s">
        <v>6671</v>
      </c>
      <c r="G1556" s="85" t="s">
        <v>188</v>
      </c>
      <c r="H1556" s="85" t="s">
        <v>6672</v>
      </c>
    </row>
    <row r="1557" customFormat="false" ht="15" hidden="false" customHeight="false" outlineLevel="0" collapsed="false">
      <c r="A1557" s="85" t="n">
        <v>1556</v>
      </c>
      <c r="B1557" s="85" t="s">
        <v>11</v>
      </c>
      <c r="C1557" s="85" t="s">
        <v>6673</v>
      </c>
      <c r="D1557" s="85" t="s">
        <v>6674</v>
      </c>
      <c r="E1557" s="86" t="s">
        <v>6675</v>
      </c>
      <c r="F1557" s="85" t="s">
        <v>6676</v>
      </c>
      <c r="G1557" s="85" t="s">
        <v>188</v>
      </c>
      <c r="H1557" s="85" t="s">
        <v>845</v>
      </c>
    </row>
    <row r="1558" customFormat="false" ht="15" hidden="false" customHeight="false" outlineLevel="0" collapsed="false">
      <c r="A1558" s="85" t="n">
        <v>1557</v>
      </c>
      <c r="B1558" s="85" t="s">
        <v>11</v>
      </c>
      <c r="C1558" s="85" t="s">
        <v>6677</v>
      </c>
      <c r="D1558" s="85" t="s">
        <v>6678</v>
      </c>
      <c r="E1558" s="86" t="s">
        <v>6679</v>
      </c>
      <c r="F1558" s="85" t="s">
        <v>6680</v>
      </c>
      <c r="G1558" s="85" t="s">
        <v>188</v>
      </c>
      <c r="H1558" s="85"/>
    </row>
    <row r="1559" customFormat="false" ht="15" hidden="false" customHeight="false" outlineLevel="0" collapsed="false">
      <c r="A1559" s="85" t="n">
        <v>1558</v>
      </c>
      <c r="B1559" s="85" t="s">
        <v>11</v>
      </c>
      <c r="C1559" s="85" t="s">
        <v>6681</v>
      </c>
      <c r="D1559" s="85" t="s">
        <v>6682</v>
      </c>
      <c r="E1559" s="86" t="s">
        <v>6683</v>
      </c>
      <c r="F1559" s="85" t="s">
        <v>6684</v>
      </c>
      <c r="G1559" s="85" t="s">
        <v>188</v>
      </c>
      <c r="H1559" s="85"/>
    </row>
    <row r="1560" customFormat="false" ht="15" hidden="false" customHeight="false" outlineLevel="0" collapsed="false">
      <c r="A1560" s="85" t="n">
        <v>1559</v>
      </c>
      <c r="B1560" s="85" t="s">
        <v>11</v>
      </c>
      <c r="C1560" s="85" t="s">
        <v>6463</v>
      </c>
      <c r="D1560" s="85" t="s">
        <v>6685</v>
      </c>
      <c r="E1560" s="86" t="s">
        <v>6686</v>
      </c>
      <c r="F1560" s="85" t="s">
        <v>6687</v>
      </c>
      <c r="G1560" s="85" t="s">
        <v>188</v>
      </c>
      <c r="H1560" s="85"/>
    </row>
    <row r="1561" customFormat="false" ht="15" hidden="false" customHeight="false" outlineLevel="0" collapsed="false">
      <c r="A1561" s="85" t="n">
        <v>1560</v>
      </c>
      <c r="B1561" s="85" t="s">
        <v>11</v>
      </c>
      <c r="C1561" s="85" t="s">
        <v>6688</v>
      </c>
      <c r="D1561" s="85" t="s">
        <v>6689</v>
      </c>
      <c r="E1561" s="86" t="s">
        <v>6690</v>
      </c>
      <c r="F1561" s="85" t="s">
        <v>6691</v>
      </c>
      <c r="G1561" s="85" t="s">
        <v>188</v>
      </c>
      <c r="H1561" s="85"/>
    </row>
    <row r="1562" customFormat="false" ht="15" hidden="false" customHeight="false" outlineLevel="0" collapsed="false">
      <c r="A1562" s="85" t="n">
        <v>1561</v>
      </c>
      <c r="B1562" s="85" t="s">
        <v>11</v>
      </c>
      <c r="C1562" s="85" t="s">
        <v>6692</v>
      </c>
      <c r="D1562" s="85" t="s">
        <v>6693</v>
      </c>
      <c r="E1562" s="86" t="s">
        <v>6694</v>
      </c>
      <c r="F1562" s="85" t="s">
        <v>6695</v>
      </c>
      <c r="G1562" s="85" t="s">
        <v>190</v>
      </c>
      <c r="H1562" s="85"/>
    </row>
    <row r="1563" customFormat="false" ht="15" hidden="false" customHeight="false" outlineLevel="0" collapsed="false">
      <c r="A1563" s="85" t="n">
        <v>1562</v>
      </c>
      <c r="B1563" s="85" t="s">
        <v>11</v>
      </c>
      <c r="C1563" s="85" t="s">
        <v>6696</v>
      </c>
      <c r="D1563" s="85" t="s">
        <v>6697</v>
      </c>
      <c r="E1563" s="86" t="s">
        <v>6698</v>
      </c>
      <c r="F1563" s="85" t="s">
        <v>6699</v>
      </c>
      <c r="G1563" s="85" t="s">
        <v>190</v>
      </c>
      <c r="H1563" s="85"/>
    </row>
    <row r="1564" customFormat="false" ht="15" hidden="false" customHeight="false" outlineLevel="0" collapsed="false">
      <c r="A1564" s="85" t="n">
        <v>1563</v>
      </c>
      <c r="B1564" s="85" t="s">
        <v>11</v>
      </c>
      <c r="C1564" s="85" t="s">
        <v>6700</v>
      </c>
      <c r="D1564" s="85" t="s">
        <v>6701</v>
      </c>
      <c r="E1564" s="86" t="s">
        <v>6702</v>
      </c>
      <c r="F1564" s="85" t="s">
        <v>6703</v>
      </c>
      <c r="G1564" s="85" t="s">
        <v>190</v>
      </c>
      <c r="H1564" s="85" t="s">
        <v>6704</v>
      </c>
    </row>
    <row r="1565" customFormat="false" ht="15" hidden="false" customHeight="false" outlineLevel="0" collapsed="false">
      <c r="A1565" s="85" t="n">
        <v>1564</v>
      </c>
      <c r="B1565" s="85" t="s">
        <v>11</v>
      </c>
      <c r="C1565" s="85" t="s">
        <v>6705</v>
      </c>
      <c r="D1565" s="85" t="s">
        <v>6706</v>
      </c>
      <c r="E1565" s="86" t="s">
        <v>6707</v>
      </c>
      <c r="F1565" s="85" t="s">
        <v>6708</v>
      </c>
      <c r="G1565" s="85" t="s">
        <v>190</v>
      </c>
      <c r="H1565" s="85"/>
    </row>
    <row r="1566" customFormat="false" ht="15" hidden="false" customHeight="false" outlineLevel="0" collapsed="false">
      <c r="A1566" s="85" t="n">
        <v>1565</v>
      </c>
      <c r="B1566" s="85" t="s">
        <v>11</v>
      </c>
      <c r="C1566" s="85" t="s">
        <v>6709</v>
      </c>
      <c r="D1566" s="85" t="s">
        <v>6710</v>
      </c>
      <c r="E1566" s="86" t="s">
        <v>6711</v>
      </c>
      <c r="F1566" s="85" t="s">
        <v>6712</v>
      </c>
      <c r="G1566" s="85" t="s">
        <v>190</v>
      </c>
      <c r="H1566" s="85" t="s">
        <v>6713</v>
      </c>
    </row>
    <row r="1567" customFormat="false" ht="15" hidden="false" customHeight="false" outlineLevel="0" collapsed="false">
      <c r="A1567" s="85" t="n">
        <v>1566</v>
      </c>
      <c r="B1567" s="85" t="s">
        <v>11</v>
      </c>
      <c r="C1567" s="85" t="s">
        <v>6714</v>
      </c>
      <c r="D1567" s="85" t="s">
        <v>6715</v>
      </c>
      <c r="E1567" s="86" t="s">
        <v>6716</v>
      </c>
      <c r="F1567" s="85" t="s">
        <v>6717</v>
      </c>
      <c r="G1567" s="85" t="s">
        <v>190</v>
      </c>
      <c r="H1567" s="85"/>
    </row>
    <row r="1568" customFormat="false" ht="15" hidden="false" customHeight="false" outlineLevel="0" collapsed="false">
      <c r="A1568" s="85" t="n">
        <v>1567</v>
      </c>
      <c r="B1568" s="85" t="s">
        <v>11</v>
      </c>
      <c r="C1568" s="85" t="s">
        <v>6718</v>
      </c>
      <c r="D1568" s="85" t="s">
        <v>6719</v>
      </c>
      <c r="E1568" s="86" t="s">
        <v>6720</v>
      </c>
      <c r="F1568" s="85" t="s">
        <v>6721</v>
      </c>
      <c r="G1568" s="85" t="s">
        <v>190</v>
      </c>
      <c r="H1568" s="85"/>
    </row>
    <row r="1569" customFormat="false" ht="15" hidden="false" customHeight="false" outlineLevel="0" collapsed="false">
      <c r="A1569" s="85" t="n">
        <v>1568</v>
      </c>
      <c r="B1569" s="85" t="s">
        <v>11</v>
      </c>
      <c r="C1569" s="85" t="s">
        <v>6722</v>
      </c>
      <c r="D1569" s="85" t="s">
        <v>6723</v>
      </c>
      <c r="E1569" s="86" t="s">
        <v>6724</v>
      </c>
      <c r="F1569" s="85" t="s">
        <v>6725</v>
      </c>
      <c r="G1569" s="85" t="s">
        <v>190</v>
      </c>
      <c r="H1569" s="85"/>
    </row>
    <row r="1570" customFormat="false" ht="15" hidden="false" customHeight="false" outlineLevel="0" collapsed="false">
      <c r="A1570" s="85" t="n">
        <v>1569</v>
      </c>
      <c r="B1570" s="85" t="s">
        <v>11</v>
      </c>
      <c r="C1570" s="85" t="s">
        <v>6726</v>
      </c>
      <c r="D1570" s="85" t="s">
        <v>6727</v>
      </c>
      <c r="E1570" s="86" t="s">
        <v>6728</v>
      </c>
      <c r="F1570" s="85" t="s">
        <v>6729</v>
      </c>
      <c r="G1570" s="85" t="s">
        <v>190</v>
      </c>
      <c r="H1570" s="85"/>
    </row>
    <row r="1571" customFormat="false" ht="15" hidden="false" customHeight="false" outlineLevel="0" collapsed="false">
      <c r="A1571" s="85" t="n">
        <v>1570</v>
      </c>
      <c r="B1571" s="85" t="s">
        <v>11</v>
      </c>
      <c r="C1571" s="85" t="s">
        <v>6730</v>
      </c>
      <c r="D1571" s="85" t="s">
        <v>6731</v>
      </c>
      <c r="E1571" s="86" t="s">
        <v>6732</v>
      </c>
      <c r="F1571" s="85" t="s">
        <v>6733</v>
      </c>
      <c r="G1571" s="85" t="s">
        <v>190</v>
      </c>
      <c r="H1571" s="85" t="s">
        <v>6734</v>
      </c>
    </row>
    <row r="1572" customFormat="false" ht="15" hidden="false" customHeight="false" outlineLevel="0" collapsed="false">
      <c r="A1572" s="85" t="n">
        <v>1571</v>
      </c>
      <c r="B1572" s="85" t="s">
        <v>11</v>
      </c>
      <c r="C1572" s="85" t="s">
        <v>6735</v>
      </c>
      <c r="D1572" s="85" t="s">
        <v>6736</v>
      </c>
      <c r="E1572" s="86" t="s">
        <v>6737</v>
      </c>
      <c r="F1572" s="85" t="s">
        <v>6738</v>
      </c>
      <c r="G1572" s="85" t="s">
        <v>190</v>
      </c>
      <c r="H1572" s="85"/>
    </row>
    <row r="1573" customFormat="false" ht="15" hidden="false" customHeight="false" outlineLevel="0" collapsed="false">
      <c r="A1573" s="85" t="n">
        <v>1572</v>
      </c>
      <c r="B1573" s="85" t="s">
        <v>11</v>
      </c>
      <c r="C1573" s="85" t="s">
        <v>6739</v>
      </c>
      <c r="D1573" s="85" t="s">
        <v>6740</v>
      </c>
      <c r="E1573" s="86" t="s">
        <v>6741</v>
      </c>
      <c r="F1573" s="85" t="s">
        <v>6742</v>
      </c>
      <c r="G1573" s="85" t="s">
        <v>190</v>
      </c>
      <c r="H1573" s="85"/>
    </row>
    <row r="1574" customFormat="false" ht="15" hidden="false" customHeight="false" outlineLevel="0" collapsed="false">
      <c r="A1574" s="85" t="n">
        <v>1573</v>
      </c>
      <c r="B1574" s="85" t="s">
        <v>11</v>
      </c>
      <c r="C1574" s="85" t="s">
        <v>6743</v>
      </c>
      <c r="D1574" s="85" t="s">
        <v>6744</v>
      </c>
      <c r="E1574" s="86" t="s">
        <v>6745</v>
      </c>
      <c r="F1574" s="85" t="s">
        <v>6746</v>
      </c>
      <c r="G1574" s="85" t="s">
        <v>190</v>
      </c>
      <c r="H1574" s="85"/>
    </row>
    <row r="1575" customFormat="false" ht="15" hidden="false" customHeight="false" outlineLevel="0" collapsed="false">
      <c r="A1575" s="85" t="n">
        <v>1574</v>
      </c>
      <c r="B1575" s="85" t="s">
        <v>11</v>
      </c>
      <c r="C1575" s="85" t="s">
        <v>6747</v>
      </c>
      <c r="D1575" s="85" t="s">
        <v>6748</v>
      </c>
      <c r="E1575" s="86" t="s">
        <v>6749</v>
      </c>
      <c r="F1575" s="85" t="s">
        <v>6750</v>
      </c>
      <c r="G1575" s="85" t="s">
        <v>190</v>
      </c>
      <c r="H1575" s="85"/>
    </row>
    <row r="1576" customFormat="false" ht="15" hidden="false" customHeight="false" outlineLevel="0" collapsed="false">
      <c r="A1576" s="85" t="n">
        <v>1575</v>
      </c>
      <c r="B1576" s="85" t="s">
        <v>11</v>
      </c>
      <c r="C1576" s="85" t="s">
        <v>6751</v>
      </c>
      <c r="D1576" s="85" t="s">
        <v>6752</v>
      </c>
      <c r="E1576" s="86" t="s">
        <v>6753</v>
      </c>
      <c r="F1576" s="85" t="s">
        <v>6754</v>
      </c>
      <c r="G1576" s="85" t="s">
        <v>192</v>
      </c>
      <c r="H1576" s="85"/>
    </row>
    <row r="1577" customFormat="false" ht="15" hidden="false" customHeight="false" outlineLevel="0" collapsed="false">
      <c r="A1577" s="85" t="n">
        <v>1576</v>
      </c>
      <c r="B1577" s="85" t="s">
        <v>11</v>
      </c>
      <c r="C1577" s="85" t="s">
        <v>6755</v>
      </c>
      <c r="D1577" s="85" t="s">
        <v>6756</v>
      </c>
      <c r="E1577" s="86" t="s">
        <v>6757</v>
      </c>
      <c r="F1577" s="85" t="s">
        <v>6758</v>
      </c>
      <c r="G1577" s="85" t="s">
        <v>192</v>
      </c>
      <c r="H1577" s="85"/>
    </row>
    <row r="1578" customFormat="false" ht="15" hidden="false" customHeight="false" outlineLevel="0" collapsed="false">
      <c r="A1578" s="85" t="n">
        <v>1577</v>
      </c>
      <c r="B1578" s="85" t="s">
        <v>11</v>
      </c>
      <c r="C1578" s="85" t="s">
        <v>6759</v>
      </c>
      <c r="D1578" s="85" t="s">
        <v>6760</v>
      </c>
      <c r="E1578" s="86" t="s">
        <v>6761</v>
      </c>
      <c r="F1578" s="85" t="s">
        <v>6762</v>
      </c>
      <c r="G1578" s="85" t="s">
        <v>192</v>
      </c>
      <c r="H1578" s="85"/>
    </row>
    <row r="1579" customFormat="false" ht="15" hidden="false" customHeight="false" outlineLevel="0" collapsed="false">
      <c r="A1579" s="85" t="n">
        <v>1578</v>
      </c>
      <c r="B1579" s="85" t="s">
        <v>11</v>
      </c>
      <c r="C1579" s="85" t="s">
        <v>6763</v>
      </c>
      <c r="D1579" s="85" t="s">
        <v>6764</v>
      </c>
      <c r="E1579" s="86" t="s">
        <v>6765</v>
      </c>
      <c r="F1579" s="85" t="s">
        <v>6766</v>
      </c>
      <c r="G1579" s="85" t="s">
        <v>192</v>
      </c>
      <c r="H1579" s="85"/>
    </row>
    <row r="1580" customFormat="false" ht="15" hidden="false" customHeight="false" outlineLevel="0" collapsed="false">
      <c r="A1580" s="85" t="n">
        <v>1579</v>
      </c>
      <c r="B1580" s="85" t="s">
        <v>11</v>
      </c>
      <c r="C1580" s="85" t="s">
        <v>6767</v>
      </c>
      <c r="D1580" s="85" t="s">
        <v>6768</v>
      </c>
      <c r="E1580" s="86" t="s">
        <v>6769</v>
      </c>
      <c r="F1580" s="85" t="s">
        <v>6770</v>
      </c>
      <c r="G1580" s="85" t="s">
        <v>192</v>
      </c>
      <c r="H1580" s="85"/>
    </row>
    <row r="1581" customFormat="false" ht="15" hidden="false" customHeight="false" outlineLevel="0" collapsed="false">
      <c r="A1581" s="85" t="n">
        <v>1580</v>
      </c>
      <c r="B1581" s="85" t="s">
        <v>11</v>
      </c>
      <c r="C1581" s="85" t="s">
        <v>6771</v>
      </c>
      <c r="D1581" s="85" t="s">
        <v>6772</v>
      </c>
      <c r="E1581" s="86" t="s">
        <v>6773</v>
      </c>
      <c r="F1581" s="85" t="s">
        <v>6774</v>
      </c>
      <c r="G1581" s="85" t="s">
        <v>192</v>
      </c>
      <c r="H1581" s="85" t="s">
        <v>6775</v>
      </c>
    </row>
    <row r="1582" customFormat="false" ht="15" hidden="false" customHeight="false" outlineLevel="0" collapsed="false">
      <c r="A1582" s="85" t="n">
        <v>1581</v>
      </c>
      <c r="B1582" s="85" t="s">
        <v>11</v>
      </c>
      <c r="C1582" s="85" t="s">
        <v>6776</v>
      </c>
      <c r="D1582" s="85" t="s">
        <v>6777</v>
      </c>
      <c r="E1582" s="86" t="s">
        <v>6778</v>
      </c>
      <c r="F1582" s="85" t="s">
        <v>6779</v>
      </c>
      <c r="G1582" s="85" t="s">
        <v>192</v>
      </c>
      <c r="H1582" s="85"/>
    </row>
    <row r="1583" customFormat="false" ht="15" hidden="false" customHeight="false" outlineLevel="0" collapsed="false">
      <c r="A1583" s="85" t="n">
        <v>1582</v>
      </c>
      <c r="B1583" s="85" t="s">
        <v>11</v>
      </c>
      <c r="C1583" s="85" t="s">
        <v>6780</v>
      </c>
      <c r="D1583" s="85" t="s">
        <v>6781</v>
      </c>
      <c r="E1583" s="86" t="s">
        <v>6782</v>
      </c>
      <c r="F1583" s="85" t="s">
        <v>6783</v>
      </c>
      <c r="G1583" s="85" t="s">
        <v>192</v>
      </c>
      <c r="H1583" s="85"/>
    </row>
    <row r="1584" customFormat="false" ht="15" hidden="false" customHeight="false" outlineLevel="0" collapsed="false">
      <c r="A1584" s="85" t="n">
        <v>1583</v>
      </c>
      <c r="B1584" s="85" t="s">
        <v>11</v>
      </c>
      <c r="C1584" s="85" t="s">
        <v>6784</v>
      </c>
      <c r="D1584" s="85" t="s">
        <v>6785</v>
      </c>
      <c r="E1584" s="86" t="s">
        <v>6786</v>
      </c>
      <c r="F1584" s="85" t="s">
        <v>6355</v>
      </c>
      <c r="G1584" s="85" t="s">
        <v>192</v>
      </c>
      <c r="H1584" s="85"/>
    </row>
    <row r="1585" customFormat="false" ht="15" hidden="false" customHeight="false" outlineLevel="0" collapsed="false">
      <c r="A1585" s="85" t="n">
        <v>1584</v>
      </c>
      <c r="B1585" s="85" t="s">
        <v>11</v>
      </c>
      <c r="C1585" s="85" t="s">
        <v>6787</v>
      </c>
      <c r="D1585" s="85" t="s">
        <v>6788</v>
      </c>
      <c r="E1585" s="86" t="s">
        <v>6789</v>
      </c>
      <c r="F1585" s="85" t="s">
        <v>6790</v>
      </c>
      <c r="G1585" s="85" t="s">
        <v>192</v>
      </c>
      <c r="H1585" s="85"/>
    </row>
    <row r="1586" customFormat="false" ht="15" hidden="false" customHeight="false" outlineLevel="0" collapsed="false">
      <c r="A1586" s="85" t="n">
        <v>1585</v>
      </c>
      <c r="B1586" s="85" t="s">
        <v>11</v>
      </c>
      <c r="C1586" s="85" t="s">
        <v>6791</v>
      </c>
      <c r="D1586" s="85" t="s">
        <v>6792</v>
      </c>
      <c r="E1586" s="86" t="s">
        <v>6793</v>
      </c>
      <c r="F1586" s="85" t="s">
        <v>6794</v>
      </c>
      <c r="G1586" s="85" t="s">
        <v>192</v>
      </c>
      <c r="H1586" s="85"/>
    </row>
    <row r="1587" customFormat="false" ht="15" hidden="false" customHeight="false" outlineLevel="0" collapsed="false">
      <c r="A1587" s="85" t="n">
        <v>1586</v>
      </c>
      <c r="B1587" s="85" t="s">
        <v>11</v>
      </c>
      <c r="C1587" s="85" t="s">
        <v>6795</v>
      </c>
      <c r="D1587" s="85" t="s">
        <v>6796</v>
      </c>
      <c r="E1587" s="86" t="s">
        <v>6797</v>
      </c>
      <c r="F1587" s="85" t="s">
        <v>6798</v>
      </c>
      <c r="G1587" s="85" t="s">
        <v>192</v>
      </c>
      <c r="H1587" s="85" t="s">
        <v>6799</v>
      </c>
    </row>
    <row r="1588" customFormat="false" ht="15" hidden="false" customHeight="false" outlineLevel="0" collapsed="false">
      <c r="A1588" s="85" t="n">
        <v>1587</v>
      </c>
      <c r="B1588" s="85" t="s">
        <v>11</v>
      </c>
      <c r="C1588" s="85" t="s">
        <v>6800</v>
      </c>
      <c r="D1588" s="85" t="s">
        <v>6801</v>
      </c>
      <c r="E1588" s="86" t="s">
        <v>6802</v>
      </c>
      <c r="F1588" s="85" t="s">
        <v>6803</v>
      </c>
      <c r="G1588" s="85" t="s">
        <v>192</v>
      </c>
      <c r="H1588" s="85"/>
    </row>
    <row r="1589" customFormat="false" ht="15" hidden="false" customHeight="false" outlineLevel="0" collapsed="false">
      <c r="A1589" s="85" t="n">
        <v>1588</v>
      </c>
      <c r="B1589" s="85" t="s">
        <v>11</v>
      </c>
      <c r="C1589" s="85" t="s">
        <v>6804</v>
      </c>
      <c r="D1589" s="85" t="s">
        <v>6805</v>
      </c>
      <c r="E1589" s="86" t="s">
        <v>6806</v>
      </c>
      <c r="F1589" s="85" t="s">
        <v>6807</v>
      </c>
      <c r="G1589" s="85" t="s">
        <v>192</v>
      </c>
      <c r="H1589" s="85"/>
    </row>
    <row r="1590" customFormat="false" ht="15" hidden="false" customHeight="false" outlineLevel="0" collapsed="false">
      <c r="A1590" s="85" t="n">
        <v>1589</v>
      </c>
      <c r="B1590" s="85" t="s">
        <v>11</v>
      </c>
      <c r="C1590" s="85" t="s">
        <v>6808</v>
      </c>
      <c r="D1590" s="85" t="s">
        <v>6809</v>
      </c>
      <c r="E1590" s="86" t="s">
        <v>6810</v>
      </c>
      <c r="F1590" s="85" t="s">
        <v>6811</v>
      </c>
      <c r="G1590" s="85" t="s">
        <v>192</v>
      </c>
      <c r="H1590" s="85"/>
    </row>
    <row r="1591" customFormat="false" ht="15" hidden="false" customHeight="false" outlineLevel="0" collapsed="false">
      <c r="A1591" s="85" t="n">
        <v>1590</v>
      </c>
      <c r="B1591" s="85" t="s">
        <v>11</v>
      </c>
      <c r="C1591" s="85" t="s">
        <v>6812</v>
      </c>
      <c r="D1591" s="85" t="s">
        <v>6813</v>
      </c>
      <c r="E1591" s="86" t="s">
        <v>6814</v>
      </c>
      <c r="F1591" s="85" t="s">
        <v>6815</v>
      </c>
      <c r="G1591" s="85" t="s">
        <v>194</v>
      </c>
      <c r="H1591" s="85"/>
    </row>
    <row r="1592" customFormat="false" ht="15" hidden="false" customHeight="false" outlineLevel="0" collapsed="false">
      <c r="A1592" s="85" t="n">
        <v>1591</v>
      </c>
      <c r="B1592" s="85" t="s">
        <v>11</v>
      </c>
      <c r="C1592" s="85" t="s">
        <v>6816</v>
      </c>
      <c r="D1592" s="85" t="s">
        <v>6817</v>
      </c>
      <c r="E1592" s="86" t="s">
        <v>6818</v>
      </c>
      <c r="F1592" s="85" t="s">
        <v>6819</v>
      </c>
      <c r="G1592" s="85" t="s">
        <v>194</v>
      </c>
      <c r="H1592" s="85"/>
    </row>
    <row r="1593" customFormat="false" ht="15" hidden="false" customHeight="false" outlineLevel="0" collapsed="false">
      <c r="A1593" s="85" t="n">
        <v>1592</v>
      </c>
      <c r="B1593" s="85" t="s">
        <v>11</v>
      </c>
      <c r="C1593" s="85" t="s">
        <v>6820</v>
      </c>
      <c r="D1593" s="85" t="s">
        <v>6821</v>
      </c>
      <c r="E1593" s="86" t="s">
        <v>6822</v>
      </c>
      <c r="F1593" s="85" t="s">
        <v>6823</v>
      </c>
      <c r="G1593" s="85" t="s">
        <v>194</v>
      </c>
      <c r="H1593" s="85" t="s">
        <v>6824</v>
      </c>
    </row>
    <row r="1594" customFormat="false" ht="15" hidden="false" customHeight="false" outlineLevel="0" collapsed="false">
      <c r="A1594" s="85" t="n">
        <v>1593</v>
      </c>
      <c r="B1594" s="85" t="s">
        <v>11</v>
      </c>
      <c r="C1594" s="85" t="s">
        <v>6825</v>
      </c>
      <c r="D1594" s="85" t="s">
        <v>6826</v>
      </c>
      <c r="E1594" s="86" t="s">
        <v>6827</v>
      </c>
      <c r="F1594" s="85" t="s">
        <v>6828</v>
      </c>
      <c r="G1594" s="85" t="s">
        <v>194</v>
      </c>
      <c r="H1594" s="85" t="s">
        <v>6829</v>
      </c>
    </row>
    <row r="1595" customFormat="false" ht="15" hidden="false" customHeight="false" outlineLevel="0" collapsed="false">
      <c r="A1595" s="85" t="n">
        <v>1594</v>
      </c>
      <c r="B1595" s="85" t="s">
        <v>11</v>
      </c>
      <c r="C1595" s="85" t="s">
        <v>6830</v>
      </c>
      <c r="D1595" s="85" t="s">
        <v>6831</v>
      </c>
      <c r="E1595" s="86" t="s">
        <v>6832</v>
      </c>
      <c r="F1595" s="85" t="s">
        <v>6833</v>
      </c>
      <c r="G1595" s="85" t="s">
        <v>194</v>
      </c>
      <c r="H1595" s="85"/>
    </row>
    <row r="1596" customFormat="false" ht="15" hidden="false" customHeight="false" outlineLevel="0" collapsed="false">
      <c r="A1596" s="85" t="n">
        <v>1595</v>
      </c>
      <c r="B1596" s="85" t="s">
        <v>11</v>
      </c>
      <c r="C1596" s="85" t="s">
        <v>6834</v>
      </c>
      <c r="D1596" s="85" t="s">
        <v>6835</v>
      </c>
      <c r="E1596" s="86" t="s">
        <v>6836</v>
      </c>
      <c r="F1596" s="85" t="s">
        <v>6837</v>
      </c>
      <c r="G1596" s="85" t="s">
        <v>194</v>
      </c>
      <c r="H1596" s="85"/>
    </row>
    <row r="1597" customFormat="false" ht="15" hidden="false" customHeight="false" outlineLevel="0" collapsed="false">
      <c r="A1597" s="85" t="n">
        <v>1596</v>
      </c>
      <c r="B1597" s="85" t="s">
        <v>11</v>
      </c>
      <c r="C1597" s="85" t="s">
        <v>6838</v>
      </c>
      <c r="D1597" s="85" t="s">
        <v>6839</v>
      </c>
      <c r="E1597" s="86" t="s">
        <v>6840</v>
      </c>
      <c r="F1597" s="85" t="s">
        <v>6841</v>
      </c>
      <c r="G1597" s="85" t="s">
        <v>194</v>
      </c>
      <c r="H1597" s="85"/>
    </row>
    <row r="1598" customFormat="false" ht="15" hidden="false" customHeight="false" outlineLevel="0" collapsed="false">
      <c r="A1598" s="85" t="n">
        <v>1597</v>
      </c>
      <c r="B1598" s="85" t="s">
        <v>11</v>
      </c>
      <c r="C1598" s="85" t="s">
        <v>6842</v>
      </c>
      <c r="D1598" s="85" t="s">
        <v>6843</v>
      </c>
      <c r="E1598" s="86" t="s">
        <v>6844</v>
      </c>
      <c r="F1598" s="85" t="s">
        <v>6845</v>
      </c>
      <c r="G1598" s="85" t="s">
        <v>194</v>
      </c>
      <c r="H1598" s="85"/>
    </row>
    <row r="1599" customFormat="false" ht="15" hidden="false" customHeight="false" outlineLevel="0" collapsed="false">
      <c r="A1599" s="85" t="n">
        <v>1598</v>
      </c>
      <c r="B1599" s="85" t="s">
        <v>11</v>
      </c>
      <c r="C1599" s="85" t="s">
        <v>6846</v>
      </c>
      <c r="D1599" s="85" t="s">
        <v>6847</v>
      </c>
      <c r="E1599" s="86" t="s">
        <v>6848</v>
      </c>
      <c r="F1599" s="85" t="s">
        <v>6849</v>
      </c>
      <c r="G1599" s="85" t="s">
        <v>194</v>
      </c>
      <c r="H1599" s="85" t="s">
        <v>6850</v>
      </c>
    </row>
    <row r="1600" customFormat="false" ht="15" hidden="false" customHeight="false" outlineLevel="0" collapsed="false">
      <c r="A1600" s="85" t="n">
        <v>1599</v>
      </c>
      <c r="B1600" s="85" t="s">
        <v>11</v>
      </c>
      <c r="C1600" s="85" t="s">
        <v>6851</v>
      </c>
      <c r="D1600" s="85" t="s">
        <v>6852</v>
      </c>
      <c r="E1600" s="86" t="s">
        <v>6853</v>
      </c>
      <c r="F1600" s="85" t="s">
        <v>6854</v>
      </c>
      <c r="G1600" s="85" t="s">
        <v>194</v>
      </c>
      <c r="H1600" s="85"/>
    </row>
    <row r="1601" customFormat="false" ht="15" hidden="false" customHeight="false" outlineLevel="0" collapsed="false">
      <c r="A1601" s="85" t="n">
        <v>1600</v>
      </c>
      <c r="B1601" s="85" t="s">
        <v>11</v>
      </c>
      <c r="C1601" s="85" t="s">
        <v>6855</v>
      </c>
      <c r="D1601" s="85" t="s">
        <v>6856</v>
      </c>
      <c r="E1601" s="86" t="s">
        <v>6857</v>
      </c>
      <c r="F1601" s="85" t="s">
        <v>6858</v>
      </c>
      <c r="G1601" s="85" t="s">
        <v>194</v>
      </c>
      <c r="H1601" s="85"/>
    </row>
    <row r="1602" customFormat="false" ht="15" hidden="false" customHeight="false" outlineLevel="0" collapsed="false">
      <c r="A1602" s="85" t="n">
        <v>1601</v>
      </c>
      <c r="B1602" s="85" t="s">
        <v>11</v>
      </c>
      <c r="C1602" s="85" t="s">
        <v>6859</v>
      </c>
      <c r="D1602" s="85" t="s">
        <v>6860</v>
      </c>
      <c r="E1602" s="86" t="s">
        <v>6861</v>
      </c>
      <c r="F1602" s="85" t="s">
        <v>6862</v>
      </c>
      <c r="G1602" s="85" t="s">
        <v>194</v>
      </c>
      <c r="H1602" s="85" t="s">
        <v>6863</v>
      </c>
    </row>
    <row r="1603" customFormat="false" ht="15" hidden="false" customHeight="false" outlineLevel="0" collapsed="false">
      <c r="A1603" s="85" t="n">
        <v>1602</v>
      </c>
      <c r="B1603" s="85" t="s">
        <v>11</v>
      </c>
      <c r="C1603" s="85" t="s">
        <v>6864</v>
      </c>
      <c r="D1603" s="85" t="s">
        <v>6865</v>
      </c>
      <c r="E1603" s="86" t="s">
        <v>6866</v>
      </c>
      <c r="F1603" s="85" t="s">
        <v>6867</v>
      </c>
      <c r="G1603" s="85" t="s">
        <v>194</v>
      </c>
      <c r="H1603" s="85"/>
    </row>
    <row r="1604" customFormat="false" ht="15" hidden="false" customHeight="false" outlineLevel="0" collapsed="false">
      <c r="A1604" s="85" t="n">
        <v>1603</v>
      </c>
      <c r="B1604" s="85" t="s">
        <v>11</v>
      </c>
      <c r="C1604" s="85" t="s">
        <v>6868</v>
      </c>
      <c r="D1604" s="85" t="s">
        <v>6869</v>
      </c>
      <c r="E1604" s="86" t="s">
        <v>6870</v>
      </c>
      <c r="F1604" s="85" t="s">
        <v>6871</v>
      </c>
      <c r="G1604" s="85" t="s">
        <v>194</v>
      </c>
      <c r="H1604" s="85"/>
    </row>
    <row r="1605" customFormat="false" ht="15" hidden="false" customHeight="false" outlineLevel="0" collapsed="false">
      <c r="A1605" s="85" t="n">
        <v>1604</v>
      </c>
      <c r="B1605" s="85" t="s">
        <v>11</v>
      </c>
      <c r="C1605" s="85" t="s">
        <v>6872</v>
      </c>
      <c r="D1605" s="85" t="s">
        <v>6873</v>
      </c>
      <c r="E1605" s="86" t="s">
        <v>6874</v>
      </c>
      <c r="F1605" s="85" t="s">
        <v>6875</v>
      </c>
      <c r="G1605" s="85" t="s">
        <v>196</v>
      </c>
      <c r="H1605" s="85"/>
    </row>
    <row r="1606" customFormat="false" ht="15" hidden="false" customHeight="false" outlineLevel="0" collapsed="false">
      <c r="A1606" s="85" t="n">
        <v>1605</v>
      </c>
      <c r="B1606" s="85" t="s">
        <v>11</v>
      </c>
      <c r="C1606" s="85" t="s">
        <v>6876</v>
      </c>
      <c r="D1606" s="85" t="s">
        <v>6877</v>
      </c>
      <c r="E1606" s="86" t="s">
        <v>6878</v>
      </c>
      <c r="F1606" s="85" t="s">
        <v>6879</v>
      </c>
      <c r="G1606" s="85" t="s">
        <v>196</v>
      </c>
      <c r="H1606" s="85"/>
    </row>
    <row r="1607" customFormat="false" ht="15" hidden="false" customHeight="false" outlineLevel="0" collapsed="false">
      <c r="A1607" s="85" t="n">
        <v>1606</v>
      </c>
      <c r="B1607" s="85" t="s">
        <v>11</v>
      </c>
      <c r="C1607" s="85" t="s">
        <v>6880</v>
      </c>
      <c r="D1607" s="85" t="s">
        <v>6881</v>
      </c>
      <c r="E1607" s="86" t="s">
        <v>6882</v>
      </c>
      <c r="F1607" s="85" t="s">
        <v>6883</v>
      </c>
      <c r="G1607" s="85" t="s">
        <v>196</v>
      </c>
      <c r="H1607" s="85"/>
    </row>
    <row r="1608" customFormat="false" ht="15" hidden="false" customHeight="false" outlineLevel="0" collapsed="false">
      <c r="A1608" s="85" t="n">
        <v>1607</v>
      </c>
      <c r="B1608" s="85" t="s">
        <v>11</v>
      </c>
      <c r="C1608" s="85" t="s">
        <v>6884</v>
      </c>
      <c r="D1608" s="85" t="s">
        <v>6885</v>
      </c>
      <c r="E1608" s="86" t="s">
        <v>6886</v>
      </c>
      <c r="F1608" s="85" t="s">
        <v>6887</v>
      </c>
      <c r="G1608" s="85" t="s">
        <v>196</v>
      </c>
      <c r="H1608" s="85"/>
    </row>
    <row r="1609" customFormat="false" ht="15" hidden="false" customHeight="false" outlineLevel="0" collapsed="false">
      <c r="A1609" s="85" t="n">
        <v>1608</v>
      </c>
      <c r="B1609" s="85" t="s">
        <v>11</v>
      </c>
      <c r="C1609" s="85" t="s">
        <v>6888</v>
      </c>
      <c r="D1609" s="85" t="s">
        <v>6889</v>
      </c>
      <c r="E1609" s="86" t="s">
        <v>6890</v>
      </c>
      <c r="F1609" s="85" t="s">
        <v>6891</v>
      </c>
      <c r="G1609" s="85" t="s">
        <v>196</v>
      </c>
      <c r="H1609" s="85" t="s">
        <v>5299</v>
      </c>
    </row>
    <row r="1610" customFormat="false" ht="15" hidden="false" customHeight="false" outlineLevel="0" collapsed="false">
      <c r="A1610" s="85" t="n">
        <v>1609</v>
      </c>
      <c r="B1610" s="85" t="s">
        <v>11</v>
      </c>
      <c r="C1610" s="85" t="s">
        <v>6892</v>
      </c>
      <c r="D1610" s="85" t="s">
        <v>6893</v>
      </c>
      <c r="E1610" s="86" t="s">
        <v>6894</v>
      </c>
      <c r="F1610" s="85" t="s">
        <v>6895</v>
      </c>
      <c r="G1610" s="85" t="s">
        <v>196</v>
      </c>
      <c r="H1610" s="85"/>
    </row>
    <row r="1611" customFormat="false" ht="15" hidden="false" customHeight="false" outlineLevel="0" collapsed="false">
      <c r="A1611" s="85" t="n">
        <v>1610</v>
      </c>
      <c r="B1611" s="85" t="s">
        <v>11</v>
      </c>
      <c r="C1611" s="85" t="s">
        <v>6896</v>
      </c>
      <c r="D1611" s="85" t="s">
        <v>6897</v>
      </c>
      <c r="E1611" s="86" t="s">
        <v>6898</v>
      </c>
      <c r="F1611" s="85" t="s">
        <v>6899</v>
      </c>
      <c r="G1611" s="85" t="s">
        <v>196</v>
      </c>
      <c r="H1611" s="85"/>
    </row>
    <row r="1612" customFormat="false" ht="15" hidden="false" customHeight="false" outlineLevel="0" collapsed="false">
      <c r="A1612" s="85" t="n">
        <v>1611</v>
      </c>
      <c r="B1612" s="85" t="s">
        <v>11</v>
      </c>
      <c r="C1612" s="85" t="s">
        <v>6900</v>
      </c>
      <c r="D1612" s="85" t="s">
        <v>6901</v>
      </c>
      <c r="E1612" s="86" t="s">
        <v>6902</v>
      </c>
      <c r="F1612" s="85" t="s">
        <v>6903</v>
      </c>
      <c r="G1612" s="85" t="s">
        <v>196</v>
      </c>
      <c r="H1612" s="85"/>
    </row>
    <row r="1613" customFormat="false" ht="15" hidden="false" customHeight="false" outlineLevel="0" collapsed="false">
      <c r="A1613" s="85" t="n">
        <v>1612</v>
      </c>
      <c r="B1613" s="85" t="s">
        <v>11</v>
      </c>
      <c r="C1613" s="85" t="s">
        <v>6904</v>
      </c>
      <c r="D1613" s="85" t="s">
        <v>6905</v>
      </c>
      <c r="E1613" s="86" t="s">
        <v>6906</v>
      </c>
      <c r="F1613" s="85" t="s">
        <v>6907</v>
      </c>
      <c r="G1613" s="85" t="s">
        <v>196</v>
      </c>
      <c r="H1613" s="85"/>
    </row>
    <row r="1614" customFormat="false" ht="15" hidden="false" customHeight="false" outlineLevel="0" collapsed="false">
      <c r="A1614" s="85" t="n">
        <v>1613</v>
      </c>
      <c r="B1614" s="85" t="s">
        <v>11</v>
      </c>
      <c r="C1614" s="85" t="s">
        <v>6908</v>
      </c>
      <c r="D1614" s="85" t="s">
        <v>6909</v>
      </c>
      <c r="E1614" s="86" t="s">
        <v>6910</v>
      </c>
      <c r="F1614" s="85" t="s">
        <v>6911</v>
      </c>
      <c r="G1614" s="85" t="s">
        <v>196</v>
      </c>
      <c r="H1614" s="85" t="s">
        <v>6912</v>
      </c>
    </row>
    <row r="1615" customFormat="false" ht="15" hidden="false" customHeight="false" outlineLevel="0" collapsed="false">
      <c r="A1615" s="85" t="n">
        <v>1614</v>
      </c>
      <c r="B1615" s="85" t="s">
        <v>11</v>
      </c>
      <c r="C1615" s="85" t="s">
        <v>6913</v>
      </c>
      <c r="D1615" s="85" t="s">
        <v>6914</v>
      </c>
      <c r="E1615" s="86" t="s">
        <v>6915</v>
      </c>
      <c r="F1615" s="85" t="s">
        <v>6916</v>
      </c>
      <c r="G1615" s="85" t="s">
        <v>196</v>
      </c>
      <c r="H1615" s="85"/>
    </row>
    <row r="1616" customFormat="false" ht="15" hidden="false" customHeight="false" outlineLevel="0" collapsed="false">
      <c r="A1616" s="85" t="n">
        <v>1615</v>
      </c>
      <c r="B1616" s="85" t="s">
        <v>11</v>
      </c>
      <c r="C1616" s="85" t="s">
        <v>6917</v>
      </c>
      <c r="D1616" s="85" t="s">
        <v>6918</v>
      </c>
      <c r="E1616" s="86" t="s">
        <v>6919</v>
      </c>
      <c r="F1616" s="85" t="s">
        <v>6920</v>
      </c>
      <c r="G1616" s="85" t="s">
        <v>196</v>
      </c>
      <c r="H1616" s="85"/>
    </row>
    <row r="1617" customFormat="false" ht="15" hidden="false" customHeight="false" outlineLevel="0" collapsed="false">
      <c r="A1617" s="85" t="n">
        <v>1616</v>
      </c>
      <c r="B1617" s="85" t="s">
        <v>11</v>
      </c>
      <c r="C1617" s="85" t="s">
        <v>6921</v>
      </c>
      <c r="D1617" s="85" t="s">
        <v>6922</v>
      </c>
      <c r="E1617" s="86" t="s">
        <v>6923</v>
      </c>
      <c r="F1617" s="85" t="s">
        <v>6924</v>
      </c>
      <c r="G1617" s="85" t="s">
        <v>196</v>
      </c>
      <c r="H1617" s="85"/>
    </row>
    <row r="1618" customFormat="false" ht="15" hidden="false" customHeight="false" outlineLevel="0" collapsed="false">
      <c r="A1618" s="85" t="n">
        <v>1617</v>
      </c>
      <c r="B1618" s="85" t="s">
        <v>11</v>
      </c>
      <c r="C1618" s="85" t="s">
        <v>6476</v>
      </c>
      <c r="D1618" s="85" t="s">
        <v>6925</v>
      </c>
      <c r="E1618" s="86" t="s">
        <v>4362</v>
      </c>
      <c r="F1618" s="85" t="s">
        <v>4363</v>
      </c>
      <c r="G1618" s="85" t="s">
        <v>198</v>
      </c>
      <c r="H1618" s="85"/>
    </row>
    <row r="1619" customFormat="false" ht="15" hidden="false" customHeight="false" outlineLevel="0" collapsed="false">
      <c r="A1619" s="85" t="n">
        <v>1618</v>
      </c>
      <c r="B1619" s="85" t="s">
        <v>11</v>
      </c>
      <c r="C1619" s="85" t="s">
        <v>6926</v>
      </c>
      <c r="D1619" s="85" t="s">
        <v>6927</v>
      </c>
      <c r="E1619" s="86" t="s">
        <v>6928</v>
      </c>
      <c r="F1619" s="85" t="s">
        <v>6929</v>
      </c>
      <c r="G1619" s="85" t="s">
        <v>198</v>
      </c>
      <c r="H1619" s="85"/>
    </row>
    <row r="1620" customFormat="false" ht="15" hidden="false" customHeight="false" outlineLevel="0" collapsed="false">
      <c r="A1620" s="85" t="n">
        <v>1619</v>
      </c>
      <c r="B1620" s="85" t="s">
        <v>11</v>
      </c>
      <c r="C1620" s="85" t="s">
        <v>6930</v>
      </c>
      <c r="D1620" s="85" t="s">
        <v>6931</v>
      </c>
      <c r="E1620" s="86" t="s">
        <v>6932</v>
      </c>
      <c r="F1620" s="85" t="s">
        <v>6933</v>
      </c>
      <c r="G1620" s="85" t="s">
        <v>198</v>
      </c>
      <c r="H1620" s="85"/>
    </row>
    <row r="1621" customFormat="false" ht="15" hidden="false" customHeight="false" outlineLevel="0" collapsed="false">
      <c r="A1621" s="85" t="n">
        <v>1620</v>
      </c>
      <c r="B1621" s="85" t="s">
        <v>11</v>
      </c>
      <c r="C1621" s="85" t="s">
        <v>6934</v>
      </c>
      <c r="D1621" s="85" t="s">
        <v>6935</v>
      </c>
      <c r="E1621" s="86" t="s">
        <v>6936</v>
      </c>
      <c r="F1621" s="85" t="s">
        <v>6937</v>
      </c>
      <c r="G1621" s="85" t="s">
        <v>198</v>
      </c>
      <c r="H1621" s="85" t="s">
        <v>6938</v>
      </c>
    </row>
    <row r="1622" customFormat="false" ht="15" hidden="false" customHeight="false" outlineLevel="0" collapsed="false">
      <c r="A1622" s="85" t="n">
        <v>1621</v>
      </c>
      <c r="B1622" s="85" t="s">
        <v>11</v>
      </c>
      <c r="C1622" s="85" t="s">
        <v>6939</v>
      </c>
      <c r="D1622" s="85" t="s">
        <v>6940</v>
      </c>
      <c r="E1622" s="86" t="s">
        <v>6941</v>
      </c>
      <c r="F1622" s="85" t="s">
        <v>6942</v>
      </c>
      <c r="G1622" s="85" t="s">
        <v>198</v>
      </c>
      <c r="H1622" s="85"/>
    </row>
    <row r="1623" customFormat="false" ht="15" hidden="false" customHeight="false" outlineLevel="0" collapsed="false">
      <c r="A1623" s="85" t="n">
        <v>1622</v>
      </c>
      <c r="B1623" s="85" t="s">
        <v>11</v>
      </c>
      <c r="C1623" s="85" t="s">
        <v>6943</v>
      </c>
      <c r="D1623" s="85" t="s">
        <v>6944</v>
      </c>
      <c r="E1623" s="86" t="s">
        <v>6945</v>
      </c>
      <c r="F1623" s="85" t="s">
        <v>6946</v>
      </c>
      <c r="G1623" s="85" t="s">
        <v>198</v>
      </c>
      <c r="H1623" s="85" t="s">
        <v>6947</v>
      </c>
    </row>
    <row r="1624" customFormat="false" ht="15" hidden="false" customHeight="false" outlineLevel="0" collapsed="false">
      <c r="A1624" s="85" t="n">
        <v>1623</v>
      </c>
      <c r="B1624" s="85" t="s">
        <v>11</v>
      </c>
      <c r="C1624" s="85" t="s">
        <v>6948</v>
      </c>
      <c r="D1624" s="85" t="s">
        <v>6949</v>
      </c>
      <c r="E1624" s="86" t="s">
        <v>6950</v>
      </c>
      <c r="F1624" s="85" t="s">
        <v>6951</v>
      </c>
      <c r="G1624" s="85" t="s">
        <v>198</v>
      </c>
      <c r="H1624" s="85" t="s">
        <v>6952</v>
      </c>
    </row>
    <row r="1625" customFormat="false" ht="15" hidden="false" customHeight="false" outlineLevel="0" collapsed="false">
      <c r="A1625" s="85" t="n">
        <v>1624</v>
      </c>
      <c r="B1625" s="85" t="s">
        <v>11</v>
      </c>
      <c r="C1625" s="85" t="s">
        <v>6953</v>
      </c>
      <c r="D1625" s="85" t="s">
        <v>6954</v>
      </c>
      <c r="E1625" s="86" t="s">
        <v>6955</v>
      </c>
      <c r="F1625" s="85" t="s">
        <v>6956</v>
      </c>
      <c r="G1625" s="85" t="s">
        <v>198</v>
      </c>
      <c r="H1625" s="85"/>
    </row>
    <row r="1626" customFormat="false" ht="15" hidden="false" customHeight="false" outlineLevel="0" collapsed="false">
      <c r="A1626" s="85" t="n">
        <v>1625</v>
      </c>
      <c r="B1626" s="85" t="s">
        <v>11</v>
      </c>
      <c r="C1626" s="85" t="s">
        <v>6957</v>
      </c>
      <c r="D1626" s="85" t="s">
        <v>6958</v>
      </c>
      <c r="E1626" s="86" t="s">
        <v>6959</v>
      </c>
      <c r="F1626" s="85" t="s">
        <v>6960</v>
      </c>
      <c r="G1626" s="85" t="s">
        <v>198</v>
      </c>
      <c r="H1626" s="85"/>
    </row>
    <row r="1627" customFormat="false" ht="15" hidden="false" customHeight="false" outlineLevel="0" collapsed="false">
      <c r="A1627" s="85" t="n">
        <v>1626</v>
      </c>
      <c r="B1627" s="85" t="s">
        <v>11</v>
      </c>
      <c r="C1627" s="85" t="s">
        <v>6961</v>
      </c>
      <c r="D1627" s="85" t="s">
        <v>6962</v>
      </c>
      <c r="E1627" s="86" t="s">
        <v>6963</v>
      </c>
      <c r="F1627" s="85" t="s">
        <v>6964</v>
      </c>
      <c r="G1627" s="85" t="s">
        <v>198</v>
      </c>
      <c r="H1627" s="85"/>
    </row>
    <row r="1628" customFormat="false" ht="15" hidden="false" customHeight="false" outlineLevel="0" collapsed="false">
      <c r="A1628" s="85" t="n">
        <v>1627</v>
      </c>
      <c r="B1628" s="85" t="s">
        <v>11</v>
      </c>
      <c r="C1628" s="85" t="s">
        <v>6965</v>
      </c>
      <c r="D1628" s="85" t="s">
        <v>6966</v>
      </c>
      <c r="E1628" s="86" t="s">
        <v>6967</v>
      </c>
      <c r="F1628" s="85" t="s">
        <v>6968</v>
      </c>
      <c r="G1628" s="85" t="s">
        <v>198</v>
      </c>
      <c r="H1628" s="85" t="s">
        <v>6969</v>
      </c>
    </row>
    <row r="1629" customFormat="false" ht="15" hidden="false" customHeight="false" outlineLevel="0" collapsed="false">
      <c r="A1629" s="85" t="n">
        <v>1628</v>
      </c>
      <c r="B1629" s="85" t="s">
        <v>11</v>
      </c>
      <c r="C1629" s="85" t="s">
        <v>6970</v>
      </c>
      <c r="D1629" s="85" t="s">
        <v>6971</v>
      </c>
      <c r="E1629" s="86" t="s">
        <v>6972</v>
      </c>
      <c r="F1629" s="85" t="s">
        <v>6973</v>
      </c>
      <c r="G1629" s="85" t="s">
        <v>198</v>
      </c>
      <c r="H1629" s="85"/>
    </row>
    <row r="1630" customFormat="false" ht="15" hidden="false" customHeight="false" outlineLevel="0" collapsed="false">
      <c r="A1630" s="85" t="n">
        <v>1629</v>
      </c>
      <c r="B1630" s="85" t="s">
        <v>11</v>
      </c>
      <c r="C1630" s="85" t="s">
        <v>6974</v>
      </c>
      <c r="D1630" s="85" t="s">
        <v>6975</v>
      </c>
      <c r="E1630" s="86" t="s">
        <v>6976</v>
      </c>
      <c r="F1630" s="85" t="s">
        <v>6977</v>
      </c>
      <c r="G1630" s="85" t="s">
        <v>198</v>
      </c>
      <c r="H1630" s="85" t="s">
        <v>6978</v>
      </c>
    </row>
    <row r="1631" customFormat="false" ht="15" hidden="false" customHeight="false" outlineLevel="0" collapsed="false">
      <c r="A1631" s="85" t="n">
        <v>1630</v>
      </c>
      <c r="B1631" s="85" t="s">
        <v>11</v>
      </c>
      <c r="C1631" s="85" t="s">
        <v>6979</v>
      </c>
      <c r="D1631" s="85" t="s">
        <v>6980</v>
      </c>
      <c r="E1631" s="86" t="s">
        <v>6981</v>
      </c>
      <c r="F1631" s="85" t="s">
        <v>6982</v>
      </c>
      <c r="G1631" s="85" t="s">
        <v>198</v>
      </c>
      <c r="H1631" s="85" t="s">
        <v>6983</v>
      </c>
    </row>
    <row r="1632" customFormat="false" ht="15" hidden="false" customHeight="false" outlineLevel="0" collapsed="false">
      <c r="A1632" s="85" t="n">
        <v>1631</v>
      </c>
      <c r="B1632" s="85" t="s">
        <v>11</v>
      </c>
      <c r="C1632" s="85" t="s">
        <v>6984</v>
      </c>
      <c r="D1632" s="85" t="s">
        <v>6985</v>
      </c>
      <c r="E1632" s="86" t="s">
        <v>6986</v>
      </c>
      <c r="F1632" s="85" t="s">
        <v>6987</v>
      </c>
      <c r="G1632" s="85" t="s">
        <v>200</v>
      </c>
      <c r="H1632" s="85" t="s">
        <v>6988</v>
      </c>
    </row>
    <row r="1633" customFormat="false" ht="15" hidden="false" customHeight="false" outlineLevel="0" collapsed="false">
      <c r="A1633" s="85" t="n">
        <v>1632</v>
      </c>
      <c r="B1633" s="85" t="s">
        <v>11</v>
      </c>
      <c r="C1633" s="85" t="s">
        <v>6989</v>
      </c>
      <c r="D1633" s="85" t="s">
        <v>6990</v>
      </c>
      <c r="E1633" s="86" t="s">
        <v>6991</v>
      </c>
      <c r="F1633" s="85" t="s">
        <v>2702</v>
      </c>
      <c r="G1633" s="85" t="s">
        <v>200</v>
      </c>
      <c r="H1633" s="85"/>
    </row>
    <row r="1634" customFormat="false" ht="15" hidden="false" customHeight="false" outlineLevel="0" collapsed="false">
      <c r="A1634" s="85" t="n">
        <v>1633</v>
      </c>
      <c r="B1634" s="85" t="s">
        <v>11</v>
      </c>
      <c r="C1634" s="85" t="s">
        <v>6992</v>
      </c>
      <c r="D1634" s="85" t="s">
        <v>6993</v>
      </c>
      <c r="E1634" s="86" t="s">
        <v>6994</v>
      </c>
      <c r="F1634" s="85" t="s">
        <v>509</v>
      </c>
      <c r="G1634" s="85" t="s">
        <v>200</v>
      </c>
      <c r="H1634" s="85"/>
    </row>
    <row r="1635" customFormat="false" ht="15" hidden="false" customHeight="false" outlineLevel="0" collapsed="false">
      <c r="A1635" s="85" t="n">
        <v>1634</v>
      </c>
      <c r="B1635" s="85" t="s">
        <v>11</v>
      </c>
      <c r="C1635" s="85" t="s">
        <v>6995</v>
      </c>
      <c r="D1635" s="85" t="s">
        <v>6996</v>
      </c>
      <c r="E1635" s="86" t="s">
        <v>6997</v>
      </c>
      <c r="F1635" s="85" t="s">
        <v>1879</v>
      </c>
      <c r="G1635" s="85" t="s">
        <v>200</v>
      </c>
      <c r="H1635" s="85"/>
    </row>
    <row r="1636" customFormat="false" ht="15" hidden="false" customHeight="false" outlineLevel="0" collapsed="false">
      <c r="A1636" s="85" t="n">
        <v>1635</v>
      </c>
      <c r="B1636" s="85" t="s">
        <v>11</v>
      </c>
      <c r="C1636" s="85" t="s">
        <v>6998</v>
      </c>
      <c r="D1636" s="85" t="s">
        <v>6999</v>
      </c>
      <c r="E1636" s="86" t="s">
        <v>7000</v>
      </c>
      <c r="F1636" s="85" t="s">
        <v>996</v>
      </c>
      <c r="G1636" s="85" t="s">
        <v>200</v>
      </c>
      <c r="H1636" s="85"/>
    </row>
    <row r="1637" customFormat="false" ht="15" hidden="false" customHeight="false" outlineLevel="0" collapsed="false">
      <c r="A1637" s="85" t="n">
        <v>1636</v>
      </c>
      <c r="B1637" s="85" t="s">
        <v>11</v>
      </c>
      <c r="C1637" s="85" t="s">
        <v>7001</v>
      </c>
      <c r="D1637" s="85" t="s">
        <v>7002</v>
      </c>
      <c r="E1637" s="86" t="s">
        <v>7003</v>
      </c>
      <c r="F1637" s="85" t="s">
        <v>7004</v>
      </c>
      <c r="G1637" s="85" t="s">
        <v>200</v>
      </c>
      <c r="H1637" s="85"/>
    </row>
    <row r="1638" customFormat="false" ht="15" hidden="false" customHeight="false" outlineLevel="0" collapsed="false">
      <c r="A1638" s="85" t="n">
        <v>1637</v>
      </c>
      <c r="B1638" s="85" t="s">
        <v>11</v>
      </c>
      <c r="C1638" s="85" t="s">
        <v>7005</v>
      </c>
      <c r="D1638" s="85" t="s">
        <v>7006</v>
      </c>
      <c r="E1638" s="86" t="s">
        <v>7007</v>
      </c>
      <c r="F1638" s="85" t="s">
        <v>1776</v>
      </c>
      <c r="G1638" s="85" t="s">
        <v>200</v>
      </c>
      <c r="H1638" s="85"/>
    </row>
    <row r="1639" customFormat="false" ht="15" hidden="false" customHeight="false" outlineLevel="0" collapsed="false">
      <c r="A1639" s="85" t="n">
        <v>1638</v>
      </c>
      <c r="B1639" s="85" t="s">
        <v>11</v>
      </c>
      <c r="C1639" s="85" t="s">
        <v>7008</v>
      </c>
      <c r="D1639" s="85" t="s">
        <v>7009</v>
      </c>
      <c r="E1639" s="86" t="s">
        <v>7010</v>
      </c>
      <c r="F1639" s="85" t="s">
        <v>749</v>
      </c>
      <c r="G1639" s="85" t="s">
        <v>200</v>
      </c>
      <c r="H1639" s="85"/>
    </row>
    <row r="1640" customFormat="false" ht="15" hidden="false" customHeight="false" outlineLevel="0" collapsed="false">
      <c r="A1640" s="85" t="n">
        <v>1639</v>
      </c>
      <c r="B1640" s="85" t="s">
        <v>11</v>
      </c>
      <c r="C1640" s="85" t="s">
        <v>7011</v>
      </c>
      <c r="D1640" s="85" t="s">
        <v>7012</v>
      </c>
      <c r="E1640" s="86" t="s">
        <v>7013</v>
      </c>
      <c r="F1640" s="85" t="s">
        <v>7014</v>
      </c>
      <c r="G1640" s="85" t="s">
        <v>200</v>
      </c>
      <c r="H1640" s="85"/>
    </row>
    <row r="1641" customFormat="false" ht="15" hidden="false" customHeight="false" outlineLevel="0" collapsed="false">
      <c r="A1641" s="85" t="n">
        <v>1640</v>
      </c>
      <c r="B1641" s="85" t="s">
        <v>11</v>
      </c>
      <c r="C1641" s="85" t="s">
        <v>7015</v>
      </c>
      <c r="D1641" s="85" t="s">
        <v>7016</v>
      </c>
      <c r="E1641" s="86" t="s">
        <v>7017</v>
      </c>
      <c r="F1641" s="85" t="s">
        <v>1153</v>
      </c>
      <c r="G1641" s="85" t="s">
        <v>200</v>
      </c>
      <c r="H1641" s="85" t="s">
        <v>7018</v>
      </c>
    </row>
    <row r="1642" customFormat="false" ht="15" hidden="false" customHeight="false" outlineLevel="0" collapsed="false">
      <c r="A1642" s="85" t="n">
        <v>1641</v>
      </c>
      <c r="B1642" s="85" t="s">
        <v>11</v>
      </c>
      <c r="C1642" s="85" t="s">
        <v>7019</v>
      </c>
      <c r="D1642" s="85" t="s">
        <v>7020</v>
      </c>
      <c r="E1642" s="86" t="s">
        <v>7021</v>
      </c>
      <c r="F1642" s="85" t="s">
        <v>7022</v>
      </c>
      <c r="G1642" s="85" t="s">
        <v>200</v>
      </c>
      <c r="H1642" s="85"/>
    </row>
    <row r="1643" customFormat="false" ht="15" hidden="false" customHeight="false" outlineLevel="0" collapsed="false">
      <c r="A1643" s="85" t="n">
        <v>1642</v>
      </c>
      <c r="B1643" s="85" t="s">
        <v>11</v>
      </c>
      <c r="C1643" s="85" t="s">
        <v>7023</v>
      </c>
      <c r="D1643" s="85" t="s">
        <v>7024</v>
      </c>
      <c r="E1643" s="86" t="s">
        <v>7025</v>
      </c>
      <c r="F1643" s="85" t="s">
        <v>7026</v>
      </c>
      <c r="G1643" s="85" t="s">
        <v>200</v>
      </c>
      <c r="H1643" s="85"/>
    </row>
    <row r="1644" customFormat="false" ht="15" hidden="false" customHeight="false" outlineLevel="0" collapsed="false">
      <c r="A1644" s="85" t="n">
        <v>1643</v>
      </c>
      <c r="B1644" s="85" t="s">
        <v>11</v>
      </c>
      <c r="C1644" s="85" t="s">
        <v>7027</v>
      </c>
      <c r="D1644" s="85" t="s">
        <v>7028</v>
      </c>
      <c r="E1644" s="86" t="s">
        <v>7029</v>
      </c>
      <c r="F1644" s="85" t="s">
        <v>7030</v>
      </c>
      <c r="G1644" s="85" t="s">
        <v>200</v>
      </c>
      <c r="H1644" s="85"/>
    </row>
    <row r="1645" customFormat="false" ht="15" hidden="false" customHeight="false" outlineLevel="0" collapsed="false">
      <c r="A1645" s="85" t="n">
        <v>1644</v>
      </c>
      <c r="B1645" s="85" t="s">
        <v>11</v>
      </c>
      <c r="C1645" s="85" t="s">
        <v>7031</v>
      </c>
      <c r="D1645" s="85" t="s">
        <v>7032</v>
      </c>
      <c r="E1645" s="86" t="s">
        <v>7033</v>
      </c>
      <c r="F1645" s="85" t="s">
        <v>7034</v>
      </c>
      <c r="G1645" s="85" t="s">
        <v>200</v>
      </c>
      <c r="H1645" s="85"/>
    </row>
    <row r="1646" customFormat="false" ht="15" hidden="false" customHeight="false" outlineLevel="0" collapsed="false">
      <c r="A1646" s="85" t="n">
        <v>1645</v>
      </c>
      <c r="B1646" s="85" t="s">
        <v>11</v>
      </c>
      <c r="C1646" s="85" t="s">
        <v>7035</v>
      </c>
      <c r="D1646" s="85" t="s">
        <v>7036</v>
      </c>
      <c r="E1646" s="86" t="s">
        <v>7037</v>
      </c>
      <c r="F1646" s="85" t="s">
        <v>792</v>
      </c>
      <c r="G1646" s="85" t="s">
        <v>200</v>
      </c>
      <c r="H1646" s="85"/>
    </row>
    <row r="1647" customFormat="false" ht="15" hidden="false" customHeight="false" outlineLevel="0" collapsed="false">
      <c r="A1647" s="85" t="n">
        <v>1646</v>
      </c>
      <c r="B1647" s="85" t="s">
        <v>11</v>
      </c>
      <c r="C1647" s="85" t="s">
        <v>7038</v>
      </c>
      <c r="D1647" s="85" t="s">
        <v>7039</v>
      </c>
      <c r="E1647" s="86" t="s">
        <v>7040</v>
      </c>
      <c r="F1647" s="85" t="s">
        <v>7041</v>
      </c>
      <c r="G1647" s="85" t="s">
        <v>200</v>
      </c>
      <c r="H1647" s="85"/>
    </row>
    <row r="1648" customFormat="false" ht="15" hidden="false" customHeight="false" outlineLevel="0" collapsed="false">
      <c r="A1648" s="85" t="n">
        <v>1647</v>
      </c>
      <c r="B1648" s="85" t="s">
        <v>11</v>
      </c>
      <c r="C1648" s="85" t="s">
        <v>7042</v>
      </c>
      <c r="D1648" s="85" t="s">
        <v>7043</v>
      </c>
      <c r="E1648" s="86" t="s">
        <v>7044</v>
      </c>
      <c r="F1648" s="85" t="s">
        <v>7045</v>
      </c>
      <c r="G1648" s="85" t="s">
        <v>200</v>
      </c>
      <c r="H1648" s="85"/>
    </row>
    <row r="1649" customFormat="false" ht="15" hidden="false" customHeight="false" outlineLevel="0" collapsed="false">
      <c r="A1649" s="85" t="n">
        <v>1648</v>
      </c>
      <c r="B1649" s="85" t="s">
        <v>11</v>
      </c>
      <c r="C1649" s="85" t="s">
        <v>7046</v>
      </c>
      <c r="D1649" s="85" t="s">
        <v>7047</v>
      </c>
      <c r="E1649" s="86" t="s">
        <v>7048</v>
      </c>
      <c r="F1649" s="85" t="s">
        <v>7049</v>
      </c>
      <c r="G1649" s="85" t="s">
        <v>200</v>
      </c>
      <c r="H1649" s="85"/>
    </row>
    <row r="1650" customFormat="false" ht="15" hidden="false" customHeight="false" outlineLevel="0" collapsed="false">
      <c r="A1650" s="85" t="n">
        <v>1649</v>
      </c>
      <c r="B1650" s="85" t="s">
        <v>11</v>
      </c>
      <c r="C1650" s="85" t="s">
        <v>7050</v>
      </c>
      <c r="D1650" s="85" t="s">
        <v>7051</v>
      </c>
      <c r="E1650" s="86" t="s">
        <v>7052</v>
      </c>
      <c r="F1650" s="85" t="s">
        <v>7053</v>
      </c>
      <c r="G1650" s="85" t="s">
        <v>200</v>
      </c>
      <c r="H1650" s="85" t="s">
        <v>7054</v>
      </c>
    </row>
    <row r="1651" customFormat="false" ht="15" hidden="false" customHeight="false" outlineLevel="0" collapsed="false">
      <c r="A1651" s="85" t="n">
        <v>1650</v>
      </c>
      <c r="B1651" s="85" t="s">
        <v>11</v>
      </c>
      <c r="C1651" s="85" t="s">
        <v>7055</v>
      </c>
      <c r="D1651" s="85" t="s">
        <v>7056</v>
      </c>
      <c r="E1651" s="86" t="s">
        <v>7057</v>
      </c>
      <c r="F1651" s="85" t="s">
        <v>7058</v>
      </c>
      <c r="G1651" s="85" t="s">
        <v>200</v>
      </c>
      <c r="H1651" s="85" t="s">
        <v>7059</v>
      </c>
    </row>
    <row r="1652" customFormat="false" ht="15" hidden="false" customHeight="false" outlineLevel="0" collapsed="false">
      <c r="A1652" s="85" t="n">
        <v>1651</v>
      </c>
      <c r="B1652" s="85" t="s">
        <v>11</v>
      </c>
      <c r="C1652" s="85" t="s">
        <v>7060</v>
      </c>
      <c r="D1652" s="85" t="s">
        <v>7061</v>
      </c>
      <c r="E1652" s="86" t="s">
        <v>7062</v>
      </c>
      <c r="F1652" s="85" t="s">
        <v>7063</v>
      </c>
      <c r="G1652" s="85" t="s">
        <v>200</v>
      </c>
      <c r="H1652" s="85"/>
    </row>
    <row r="1653" customFormat="false" ht="15" hidden="false" customHeight="false" outlineLevel="0" collapsed="false">
      <c r="A1653" s="85" t="n">
        <v>1652</v>
      </c>
      <c r="B1653" s="85" t="s">
        <v>11</v>
      </c>
      <c r="C1653" s="85" t="s">
        <v>7064</v>
      </c>
      <c r="D1653" s="85" t="s">
        <v>7065</v>
      </c>
      <c r="E1653" s="86" t="s">
        <v>7066</v>
      </c>
      <c r="F1653" s="85" t="s">
        <v>7067</v>
      </c>
      <c r="G1653" s="85" t="s">
        <v>200</v>
      </c>
      <c r="H1653" s="85"/>
    </row>
    <row r="1654" customFormat="false" ht="15" hidden="false" customHeight="false" outlineLevel="0" collapsed="false">
      <c r="A1654" s="85" t="n">
        <v>1653</v>
      </c>
      <c r="B1654" s="85" t="s">
        <v>11</v>
      </c>
      <c r="C1654" s="85" t="s">
        <v>7068</v>
      </c>
      <c r="D1654" s="85" t="s">
        <v>7069</v>
      </c>
      <c r="E1654" s="86" t="s">
        <v>7070</v>
      </c>
      <c r="F1654" s="85" t="s">
        <v>7071</v>
      </c>
      <c r="G1654" s="85" t="s">
        <v>200</v>
      </c>
      <c r="H1654" s="85"/>
    </row>
    <row r="1655" customFormat="false" ht="15" hidden="false" customHeight="false" outlineLevel="0" collapsed="false">
      <c r="A1655" s="85" t="n">
        <v>1654</v>
      </c>
      <c r="B1655" s="85" t="s">
        <v>11</v>
      </c>
      <c r="C1655" s="85" t="s">
        <v>7072</v>
      </c>
      <c r="D1655" s="85" t="s">
        <v>7073</v>
      </c>
      <c r="E1655" s="86" t="s">
        <v>7074</v>
      </c>
      <c r="F1655" s="85" t="s">
        <v>7075</v>
      </c>
      <c r="G1655" s="85" t="s">
        <v>200</v>
      </c>
      <c r="H1655" s="85"/>
    </row>
    <row r="1656" customFormat="false" ht="15" hidden="false" customHeight="false" outlineLevel="0" collapsed="false">
      <c r="A1656" s="85" t="n">
        <v>1655</v>
      </c>
      <c r="B1656" s="85" t="s">
        <v>11</v>
      </c>
      <c r="C1656" s="85" t="s">
        <v>7076</v>
      </c>
      <c r="D1656" s="85" t="s">
        <v>7077</v>
      </c>
      <c r="E1656" s="86" t="s">
        <v>7078</v>
      </c>
      <c r="F1656" s="85" t="s">
        <v>7079</v>
      </c>
      <c r="G1656" s="85" t="s">
        <v>200</v>
      </c>
      <c r="H1656" s="85"/>
    </row>
    <row r="1657" customFormat="false" ht="15" hidden="false" customHeight="false" outlineLevel="0" collapsed="false">
      <c r="A1657" s="85" t="n">
        <v>1656</v>
      </c>
      <c r="B1657" s="85" t="s">
        <v>11</v>
      </c>
      <c r="C1657" s="85" t="s">
        <v>7080</v>
      </c>
      <c r="D1657" s="85" t="s">
        <v>7081</v>
      </c>
      <c r="E1657" s="86" t="s">
        <v>7082</v>
      </c>
      <c r="F1657" s="85" t="s">
        <v>7083</v>
      </c>
      <c r="G1657" s="85" t="s">
        <v>200</v>
      </c>
      <c r="H1657" s="85"/>
    </row>
    <row r="1658" customFormat="false" ht="15" hidden="false" customHeight="false" outlineLevel="0" collapsed="false">
      <c r="A1658" s="85" t="n">
        <v>1657</v>
      </c>
      <c r="B1658" s="85" t="s">
        <v>11</v>
      </c>
      <c r="C1658" s="85" t="s">
        <v>7084</v>
      </c>
      <c r="D1658" s="85" t="s">
        <v>7085</v>
      </c>
      <c r="E1658" s="86" t="s">
        <v>7086</v>
      </c>
      <c r="F1658" s="85" t="s">
        <v>7087</v>
      </c>
      <c r="G1658" s="85" t="s">
        <v>202</v>
      </c>
      <c r="H1658" s="85"/>
    </row>
    <row r="1659" customFormat="false" ht="15" hidden="false" customHeight="false" outlineLevel="0" collapsed="false">
      <c r="A1659" s="85" t="n">
        <v>1658</v>
      </c>
      <c r="B1659" s="85" t="s">
        <v>11</v>
      </c>
      <c r="C1659" s="85" t="s">
        <v>7088</v>
      </c>
      <c r="D1659" s="85" t="s">
        <v>7089</v>
      </c>
      <c r="E1659" s="86" t="s">
        <v>7090</v>
      </c>
      <c r="F1659" s="85" t="s">
        <v>7091</v>
      </c>
      <c r="G1659" s="85" t="s">
        <v>202</v>
      </c>
      <c r="H1659" s="85"/>
    </row>
    <row r="1660" customFormat="false" ht="15" hidden="false" customHeight="false" outlineLevel="0" collapsed="false">
      <c r="A1660" s="85" t="n">
        <v>1659</v>
      </c>
      <c r="B1660" s="85" t="s">
        <v>11</v>
      </c>
      <c r="C1660" s="85" t="s">
        <v>7092</v>
      </c>
      <c r="D1660" s="85" t="s">
        <v>7093</v>
      </c>
      <c r="E1660" s="86" t="s">
        <v>7094</v>
      </c>
      <c r="F1660" s="85" t="s">
        <v>7095</v>
      </c>
      <c r="G1660" s="85" t="s">
        <v>202</v>
      </c>
      <c r="H1660" s="85" t="s">
        <v>7096</v>
      </c>
    </row>
    <row r="1661" customFormat="false" ht="15" hidden="false" customHeight="false" outlineLevel="0" collapsed="false">
      <c r="A1661" s="85" t="n">
        <v>1660</v>
      </c>
      <c r="B1661" s="85" t="s">
        <v>11</v>
      </c>
      <c r="C1661" s="85" t="s">
        <v>7097</v>
      </c>
      <c r="D1661" s="85" t="s">
        <v>7098</v>
      </c>
      <c r="E1661" s="86" t="s">
        <v>7099</v>
      </c>
      <c r="F1661" s="85" t="s">
        <v>7100</v>
      </c>
      <c r="G1661" s="85" t="s">
        <v>202</v>
      </c>
      <c r="H1661" s="85"/>
    </row>
    <row r="1662" customFormat="false" ht="15" hidden="false" customHeight="false" outlineLevel="0" collapsed="false">
      <c r="A1662" s="85" t="n">
        <v>1661</v>
      </c>
      <c r="B1662" s="85" t="s">
        <v>11</v>
      </c>
      <c r="C1662" s="85" t="s">
        <v>7101</v>
      </c>
      <c r="D1662" s="85" t="s">
        <v>7102</v>
      </c>
      <c r="E1662" s="86" t="s">
        <v>7103</v>
      </c>
      <c r="F1662" s="85" t="s">
        <v>7104</v>
      </c>
      <c r="G1662" s="85" t="s">
        <v>202</v>
      </c>
      <c r="H1662" s="85"/>
    </row>
    <row r="1663" customFormat="false" ht="15" hidden="false" customHeight="false" outlineLevel="0" collapsed="false">
      <c r="A1663" s="85" t="n">
        <v>1662</v>
      </c>
      <c r="B1663" s="85" t="s">
        <v>11</v>
      </c>
      <c r="C1663" s="85" t="s">
        <v>7105</v>
      </c>
      <c r="D1663" s="85" t="s">
        <v>7106</v>
      </c>
      <c r="E1663" s="86" t="s">
        <v>7107</v>
      </c>
      <c r="F1663" s="85" t="s">
        <v>7108</v>
      </c>
      <c r="G1663" s="85" t="s">
        <v>202</v>
      </c>
      <c r="H1663" s="85"/>
    </row>
    <row r="1664" customFormat="false" ht="15" hidden="false" customHeight="false" outlineLevel="0" collapsed="false">
      <c r="A1664" s="85" t="n">
        <v>1663</v>
      </c>
      <c r="B1664" s="85" t="s">
        <v>11</v>
      </c>
      <c r="C1664" s="85" t="s">
        <v>7109</v>
      </c>
      <c r="D1664" s="85" t="s">
        <v>7110</v>
      </c>
      <c r="E1664" s="86" t="s">
        <v>7111</v>
      </c>
      <c r="F1664" s="85" t="s">
        <v>7112</v>
      </c>
      <c r="G1664" s="85" t="s">
        <v>202</v>
      </c>
      <c r="H1664" s="85"/>
    </row>
    <row r="1665" customFormat="false" ht="15" hidden="false" customHeight="false" outlineLevel="0" collapsed="false">
      <c r="A1665" s="85" t="n">
        <v>1664</v>
      </c>
      <c r="B1665" s="85" t="s">
        <v>11</v>
      </c>
      <c r="C1665" s="85" t="s">
        <v>7113</v>
      </c>
      <c r="D1665" s="85" t="s">
        <v>7114</v>
      </c>
      <c r="E1665" s="86" t="s">
        <v>7115</v>
      </c>
      <c r="F1665" s="85" t="s">
        <v>7116</v>
      </c>
      <c r="G1665" s="85" t="s">
        <v>202</v>
      </c>
      <c r="H1665" s="85"/>
    </row>
    <row r="1666" customFormat="false" ht="15" hidden="false" customHeight="false" outlineLevel="0" collapsed="false">
      <c r="A1666" s="85" t="n">
        <v>1665</v>
      </c>
      <c r="B1666" s="85" t="s">
        <v>11</v>
      </c>
      <c r="C1666" s="85" t="s">
        <v>7117</v>
      </c>
      <c r="D1666" s="85" t="s">
        <v>7118</v>
      </c>
      <c r="E1666" s="86" t="s">
        <v>7119</v>
      </c>
      <c r="F1666" s="85" t="s">
        <v>7120</v>
      </c>
      <c r="G1666" s="85" t="s">
        <v>202</v>
      </c>
      <c r="H1666" s="85"/>
    </row>
    <row r="1667" customFormat="false" ht="15" hidden="false" customHeight="false" outlineLevel="0" collapsed="false">
      <c r="A1667" s="85" t="n">
        <v>1666</v>
      </c>
      <c r="B1667" s="85" t="s">
        <v>11</v>
      </c>
      <c r="C1667" s="85" t="s">
        <v>7121</v>
      </c>
      <c r="D1667" s="85" t="s">
        <v>7122</v>
      </c>
      <c r="E1667" s="86" t="s">
        <v>7123</v>
      </c>
      <c r="F1667" s="85" t="s">
        <v>7124</v>
      </c>
      <c r="G1667" s="85" t="s">
        <v>202</v>
      </c>
      <c r="H1667" s="85"/>
    </row>
    <row r="1668" customFormat="false" ht="15" hidden="false" customHeight="false" outlineLevel="0" collapsed="false">
      <c r="A1668" s="85" t="n">
        <v>1667</v>
      </c>
      <c r="B1668" s="85" t="s">
        <v>11</v>
      </c>
      <c r="C1668" s="85" t="s">
        <v>7125</v>
      </c>
      <c r="D1668" s="85" t="s">
        <v>7126</v>
      </c>
      <c r="E1668" s="86" t="s">
        <v>7127</v>
      </c>
      <c r="F1668" s="85" t="s">
        <v>7128</v>
      </c>
      <c r="G1668" s="85" t="s">
        <v>202</v>
      </c>
      <c r="H1668" s="85"/>
    </row>
    <row r="1669" customFormat="false" ht="15" hidden="false" customHeight="false" outlineLevel="0" collapsed="false">
      <c r="A1669" s="85" t="n">
        <v>1668</v>
      </c>
      <c r="B1669" s="85" t="s">
        <v>11</v>
      </c>
      <c r="C1669" s="85" t="s">
        <v>7129</v>
      </c>
      <c r="D1669" s="85" t="s">
        <v>7130</v>
      </c>
      <c r="E1669" s="86" t="s">
        <v>7131</v>
      </c>
      <c r="F1669" s="85" t="s">
        <v>7132</v>
      </c>
      <c r="G1669" s="85" t="s">
        <v>202</v>
      </c>
      <c r="H1669" s="85" t="s">
        <v>7133</v>
      </c>
    </row>
    <row r="1670" customFormat="false" ht="15" hidden="false" customHeight="false" outlineLevel="0" collapsed="false">
      <c r="A1670" s="85" t="n">
        <v>1669</v>
      </c>
      <c r="B1670" s="85" t="s">
        <v>11</v>
      </c>
      <c r="C1670" s="85" t="s">
        <v>7134</v>
      </c>
      <c r="D1670" s="85" t="s">
        <v>7135</v>
      </c>
      <c r="E1670" s="86" t="s">
        <v>7136</v>
      </c>
      <c r="F1670" s="85" t="s">
        <v>7137</v>
      </c>
      <c r="G1670" s="85" t="s">
        <v>204</v>
      </c>
      <c r="H1670" s="85"/>
    </row>
    <row r="1671" customFormat="false" ht="15" hidden="false" customHeight="false" outlineLevel="0" collapsed="false">
      <c r="A1671" s="85" t="n">
        <v>1670</v>
      </c>
      <c r="B1671" s="85" t="s">
        <v>11</v>
      </c>
      <c r="C1671" s="85" t="s">
        <v>7138</v>
      </c>
      <c r="D1671" s="85" t="s">
        <v>7139</v>
      </c>
      <c r="E1671" s="86" t="s">
        <v>7140</v>
      </c>
      <c r="F1671" s="85" t="s">
        <v>7141</v>
      </c>
      <c r="G1671" s="85" t="s">
        <v>204</v>
      </c>
      <c r="H1671" s="85"/>
    </row>
    <row r="1672" customFormat="false" ht="15" hidden="false" customHeight="false" outlineLevel="0" collapsed="false">
      <c r="A1672" s="85" t="n">
        <v>1671</v>
      </c>
      <c r="B1672" s="85" t="s">
        <v>11</v>
      </c>
      <c r="C1672" s="85" t="s">
        <v>7142</v>
      </c>
      <c r="D1672" s="85" t="s">
        <v>7143</v>
      </c>
      <c r="E1672" s="86" t="s">
        <v>7144</v>
      </c>
      <c r="F1672" s="85" t="s">
        <v>7145</v>
      </c>
      <c r="G1672" s="85" t="s">
        <v>204</v>
      </c>
      <c r="H1672" s="85"/>
    </row>
    <row r="1673" customFormat="false" ht="15" hidden="false" customHeight="false" outlineLevel="0" collapsed="false">
      <c r="A1673" s="85" t="n">
        <v>1672</v>
      </c>
      <c r="B1673" s="85" t="s">
        <v>11</v>
      </c>
      <c r="C1673" s="85" t="s">
        <v>7146</v>
      </c>
      <c r="D1673" s="85" t="s">
        <v>7147</v>
      </c>
      <c r="E1673" s="85" t="s">
        <v>7148</v>
      </c>
      <c r="F1673" s="85" t="s">
        <v>7149</v>
      </c>
      <c r="G1673" s="85" t="s">
        <v>204</v>
      </c>
      <c r="H1673" s="85" t="s">
        <v>7150</v>
      </c>
    </row>
    <row r="1674" customFormat="false" ht="15" hidden="false" customHeight="false" outlineLevel="0" collapsed="false">
      <c r="A1674" s="85" t="n">
        <v>1673</v>
      </c>
      <c r="B1674" s="85" t="s">
        <v>11</v>
      </c>
      <c r="C1674" s="85" t="s">
        <v>7151</v>
      </c>
      <c r="D1674" s="85" t="s">
        <v>7152</v>
      </c>
      <c r="E1674" s="86" t="s">
        <v>7153</v>
      </c>
      <c r="F1674" s="85" t="s">
        <v>7154</v>
      </c>
      <c r="G1674" s="85" t="s">
        <v>204</v>
      </c>
      <c r="H1674" s="85"/>
    </row>
    <row r="1675" customFormat="false" ht="15" hidden="false" customHeight="false" outlineLevel="0" collapsed="false">
      <c r="A1675" s="85" t="n">
        <v>1674</v>
      </c>
      <c r="B1675" s="85" t="s">
        <v>11</v>
      </c>
      <c r="C1675" s="85" t="s">
        <v>7155</v>
      </c>
      <c r="D1675" s="85" t="s">
        <v>7156</v>
      </c>
      <c r="E1675" s="86" t="s">
        <v>7157</v>
      </c>
      <c r="F1675" s="85" t="s">
        <v>7158</v>
      </c>
      <c r="G1675" s="85" t="s">
        <v>204</v>
      </c>
      <c r="H1675" s="85"/>
    </row>
    <row r="1676" customFormat="false" ht="15" hidden="false" customHeight="false" outlineLevel="0" collapsed="false">
      <c r="A1676" s="85" t="n">
        <v>1675</v>
      </c>
      <c r="B1676" s="85" t="s">
        <v>11</v>
      </c>
      <c r="C1676" s="85" t="s">
        <v>7159</v>
      </c>
      <c r="D1676" s="85" t="s">
        <v>7160</v>
      </c>
      <c r="E1676" s="86" t="s">
        <v>7161</v>
      </c>
      <c r="F1676" s="85" t="s">
        <v>7162</v>
      </c>
      <c r="G1676" s="85" t="s">
        <v>204</v>
      </c>
      <c r="H1676" s="85"/>
    </row>
    <row r="1677" customFormat="false" ht="15" hidden="false" customHeight="false" outlineLevel="0" collapsed="false">
      <c r="A1677" s="85" t="n">
        <v>1676</v>
      </c>
      <c r="B1677" s="85" t="s">
        <v>11</v>
      </c>
      <c r="C1677" s="85" t="s">
        <v>7163</v>
      </c>
      <c r="D1677" s="85" t="s">
        <v>7164</v>
      </c>
      <c r="E1677" s="86" t="s">
        <v>7165</v>
      </c>
      <c r="F1677" s="85" t="s">
        <v>7166</v>
      </c>
      <c r="G1677" s="85" t="s">
        <v>204</v>
      </c>
      <c r="H1677" s="85"/>
    </row>
    <row r="1678" customFormat="false" ht="15" hidden="false" customHeight="false" outlineLevel="0" collapsed="false">
      <c r="A1678" s="85" t="n">
        <v>1677</v>
      </c>
      <c r="B1678" s="85" t="s">
        <v>11</v>
      </c>
      <c r="C1678" s="85" t="s">
        <v>7167</v>
      </c>
      <c r="D1678" s="85" t="s">
        <v>7168</v>
      </c>
      <c r="E1678" s="86" t="s">
        <v>7169</v>
      </c>
      <c r="F1678" s="85" t="s">
        <v>7170</v>
      </c>
      <c r="G1678" s="85" t="s">
        <v>204</v>
      </c>
      <c r="H1678" s="85"/>
    </row>
    <row r="1679" customFormat="false" ht="15" hidden="false" customHeight="false" outlineLevel="0" collapsed="false">
      <c r="A1679" s="85" t="n">
        <v>1678</v>
      </c>
      <c r="B1679" s="85" t="s">
        <v>11</v>
      </c>
      <c r="C1679" s="85" t="s">
        <v>7171</v>
      </c>
      <c r="D1679" s="85" t="s">
        <v>7172</v>
      </c>
      <c r="E1679" s="86" t="s">
        <v>7173</v>
      </c>
      <c r="F1679" s="85" t="s">
        <v>7174</v>
      </c>
      <c r="G1679" s="85" t="s">
        <v>204</v>
      </c>
      <c r="H1679" s="85" t="s">
        <v>7175</v>
      </c>
    </row>
    <row r="1680" customFormat="false" ht="15" hidden="false" customHeight="false" outlineLevel="0" collapsed="false">
      <c r="A1680" s="85" t="n">
        <v>1679</v>
      </c>
      <c r="B1680" s="85" t="s">
        <v>11</v>
      </c>
      <c r="C1680" s="85" t="s">
        <v>7176</v>
      </c>
      <c r="D1680" s="85" t="s">
        <v>7177</v>
      </c>
      <c r="E1680" s="86" t="s">
        <v>7178</v>
      </c>
      <c r="F1680" s="85" t="s">
        <v>7179</v>
      </c>
      <c r="G1680" s="85" t="s">
        <v>204</v>
      </c>
      <c r="H1680" s="85"/>
    </row>
    <row r="1681" customFormat="false" ht="15" hidden="false" customHeight="false" outlineLevel="0" collapsed="false">
      <c r="A1681" s="85" t="n">
        <v>1680</v>
      </c>
      <c r="B1681" s="85" t="s">
        <v>11</v>
      </c>
      <c r="C1681" s="85" t="s">
        <v>3439</v>
      </c>
      <c r="D1681" s="85" t="s">
        <v>7180</v>
      </c>
      <c r="E1681" s="86" t="s">
        <v>7181</v>
      </c>
      <c r="F1681" s="85" t="s">
        <v>7182</v>
      </c>
      <c r="G1681" s="85" t="s">
        <v>204</v>
      </c>
      <c r="H1681" s="85"/>
    </row>
    <row r="1682" customFormat="false" ht="15" hidden="false" customHeight="false" outlineLevel="0" collapsed="false">
      <c r="A1682" s="85" t="n">
        <v>1681</v>
      </c>
      <c r="B1682" s="85" t="s">
        <v>11</v>
      </c>
      <c r="C1682" s="85" t="s">
        <v>7183</v>
      </c>
      <c r="D1682" s="85" t="s">
        <v>7184</v>
      </c>
      <c r="E1682" s="86" t="s">
        <v>7185</v>
      </c>
      <c r="F1682" s="85" t="s">
        <v>7186</v>
      </c>
      <c r="G1682" s="85" t="s">
        <v>204</v>
      </c>
      <c r="H1682" s="85"/>
    </row>
    <row r="1683" customFormat="false" ht="15" hidden="false" customHeight="false" outlineLevel="0" collapsed="false">
      <c r="A1683" s="85" t="n">
        <v>1682</v>
      </c>
      <c r="B1683" s="85" t="s">
        <v>11</v>
      </c>
      <c r="C1683" s="85" t="s">
        <v>7187</v>
      </c>
      <c r="D1683" s="85" t="s">
        <v>7188</v>
      </c>
      <c r="E1683" s="86" t="s">
        <v>7189</v>
      </c>
      <c r="F1683" s="85" t="s">
        <v>7190</v>
      </c>
      <c r="G1683" s="85" t="s">
        <v>204</v>
      </c>
      <c r="H1683" s="85" t="s">
        <v>7191</v>
      </c>
    </row>
    <row r="1684" customFormat="false" ht="15" hidden="false" customHeight="false" outlineLevel="0" collapsed="false">
      <c r="A1684" s="85" t="n">
        <v>1683</v>
      </c>
      <c r="B1684" s="85" t="s">
        <v>11</v>
      </c>
      <c r="C1684" s="85" t="s">
        <v>7192</v>
      </c>
      <c r="D1684" s="85" t="s">
        <v>7193</v>
      </c>
      <c r="E1684" s="86" t="s">
        <v>7194</v>
      </c>
      <c r="F1684" s="85" t="s">
        <v>7195</v>
      </c>
      <c r="G1684" s="85" t="s">
        <v>204</v>
      </c>
      <c r="H1684" s="85"/>
    </row>
    <row r="1685" customFormat="false" ht="15" hidden="false" customHeight="false" outlineLevel="0" collapsed="false">
      <c r="A1685" s="85" t="n">
        <v>1684</v>
      </c>
      <c r="B1685" s="85" t="s">
        <v>11</v>
      </c>
      <c r="C1685" s="85" t="s">
        <v>7196</v>
      </c>
      <c r="D1685" s="85" t="s">
        <v>7197</v>
      </c>
      <c r="E1685" s="86" t="s">
        <v>7198</v>
      </c>
      <c r="F1685" s="85" t="s">
        <v>7199</v>
      </c>
      <c r="G1685" s="85" t="s">
        <v>204</v>
      </c>
      <c r="H1685" s="85" t="s">
        <v>7200</v>
      </c>
    </row>
    <row r="1686" customFormat="false" ht="15" hidden="false" customHeight="false" outlineLevel="0" collapsed="false">
      <c r="A1686" s="85" t="n">
        <v>1685</v>
      </c>
      <c r="B1686" s="85" t="s">
        <v>11</v>
      </c>
      <c r="C1686" s="85" t="s">
        <v>7201</v>
      </c>
      <c r="D1686" s="85" t="s">
        <v>7202</v>
      </c>
      <c r="E1686" s="86" t="s">
        <v>7203</v>
      </c>
      <c r="F1686" s="85" t="s">
        <v>7204</v>
      </c>
      <c r="G1686" s="85" t="s">
        <v>204</v>
      </c>
      <c r="H1686" s="85"/>
    </row>
    <row r="1687" customFormat="false" ht="15" hidden="false" customHeight="false" outlineLevel="0" collapsed="false">
      <c r="A1687" s="85" t="n">
        <v>1686</v>
      </c>
      <c r="B1687" s="85" t="s">
        <v>11</v>
      </c>
      <c r="C1687" s="85" t="s">
        <v>7205</v>
      </c>
      <c r="D1687" s="85" t="s">
        <v>7206</v>
      </c>
      <c r="E1687" s="86" t="s">
        <v>7207</v>
      </c>
      <c r="F1687" s="85" t="s">
        <v>7208</v>
      </c>
      <c r="G1687" s="85" t="s">
        <v>204</v>
      </c>
      <c r="H1687" s="85"/>
    </row>
    <row r="1688" customFormat="false" ht="15" hidden="false" customHeight="false" outlineLevel="0" collapsed="false">
      <c r="A1688" s="85" t="n">
        <v>1687</v>
      </c>
      <c r="B1688" s="85" t="s">
        <v>11</v>
      </c>
      <c r="C1688" s="85" t="s">
        <v>7209</v>
      </c>
      <c r="D1688" s="85" t="s">
        <v>7210</v>
      </c>
      <c r="E1688" s="86" t="s">
        <v>7211</v>
      </c>
      <c r="F1688" s="85" t="s">
        <v>7212</v>
      </c>
      <c r="G1688" s="85" t="s">
        <v>204</v>
      </c>
      <c r="H1688" s="85" t="s">
        <v>7213</v>
      </c>
    </row>
    <row r="1689" customFormat="false" ht="15" hidden="false" customHeight="false" outlineLevel="0" collapsed="false">
      <c r="A1689" s="85" t="n">
        <v>1688</v>
      </c>
      <c r="B1689" s="85" t="s">
        <v>11</v>
      </c>
      <c r="C1689" s="85" t="s">
        <v>7214</v>
      </c>
      <c r="D1689" s="85" t="s">
        <v>7215</v>
      </c>
      <c r="E1689" s="86" t="s">
        <v>7216</v>
      </c>
      <c r="F1689" s="85" t="s">
        <v>7217</v>
      </c>
      <c r="G1689" s="85" t="s">
        <v>204</v>
      </c>
      <c r="H1689" s="85"/>
    </row>
    <row r="1690" customFormat="false" ht="15" hidden="false" customHeight="false" outlineLevel="0" collapsed="false">
      <c r="A1690" s="85" t="n">
        <v>1689</v>
      </c>
      <c r="B1690" s="85" t="s">
        <v>11</v>
      </c>
      <c r="C1690" s="85" t="s">
        <v>7218</v>
      </c>
      <c r="D1690" s="85" t="s">
        <v>7219</v>
      </c>
      <c r="E1690" s="86" t="s">
        <v>7220</v>
      </c>
      <c r="F1690" s="85" t="s">
        <v>7221</v>
      </c>
      <c r="G1690" s="85" t="s">
        <v>206</v>
      </c>
      <c r="H1690" s="85" t="s">
        <v>7222</v>
      </c>
    </row>
    <row r="1691" customFormat="false" ht="15" hidden="false" customHeight="false" outlineLevel="0" collapsed="false">
      <c r="A1691" s="85" t="n">
        <v>1690</v>
      </c>
      <c r="B1691" s="85" t="s">
        <v>11</v>
      </c>
      <c r="C1691" s="85" t="s">
        <v>7223</v>
      </c>
      <c r="D1691" s="85" t="s">
        <v>7224</v>
      </c>
      <c r="E1691" s="86" t="s">
        <v>7225</v>
      </c>
      <c r="F1691" s="85" t="s">
        <v>7226</v>
      </c>
      <c r="G1691" s="85" t="s">
        <v>206</v>
      </c>
      <c r="H1691" s="85"/>
    </row>
    <row r="1692" customFormat="false" ht="15" hidden="false" customHeight="false" outlineLevel="0" collapsed="false">
      <c r="A1692" s="85" t="n">
        <v>1691</v>
      </c>
      <c r="B1692" s="85" t="s">
        <v>11</v>
      </c>
      <c r="C1692" s="85" t="s">
        <v>7227</v>
      </c>
      <c r="D1692" s="85" t="s">
        <v>7228</v>
      </c>
      <c r="E1692" s="86" t="s">
        <v>7229</v>
      </c>
      <c r="F1692" s="85" t="s">
        <v>7230</v>
      </c>
      <c r="G1692" s="85" t="s">
        <v>206</v>
      </c>
      <c r="H1692" s="85"/>
    </row>
    <row r="1693" customFormat="false" ht="15" hidden="false" customHeight="false" outlineLevel="0" collapsed="false">
      <c r="A1693" s="85" t="n">
        <v>1692</v>
      </c>
      <c r="B1693" s="85" t="s">
        <v>11</v>
      </c>
      <c r="C1693" s="85" t="s">
        <v>7231</v>
      </c>
      <c r="D1693" s="85" t="s">
        <v>7232</v>
      </c>
      <c r="E1693" s="86" t="s">
        <v>7233</v>
      </c>
      <c r="F1693" s="85" t="s">
        <v>7234</v>
      </c>
      <c r="G1693" s="85" t="s">
        <v>206</v>
      </c>
      <c r="H1693" s="85"/>
    </row>
    <row r="1694" customFormat="false" ht="15" hidden="false" customHeight="false" outlineLevel="0" collapsed="false">
      <c r="A1694" s="85" t="n">
        <v>1693</v>
      </c>
      <c r="B1694" s="85" t="s">
        <v>11</v>
      </c>
      <c r="C1694" s="85" t="s">
        <v>7235</v>
      </c>
      <c r="D1694" s="85" t="s">
        <v>7236</v>
      </c>
      <c r="E1694" s="86" t="s">
        <v>7237</v>
      </c>
      <c r="F1694" s="85" t="s">
        <v>998</v>
      </c>
      <c r="G1694" s="85" t="s">
        <v>206</v>
      </c>
      <c r="H1694" s="85"/>
    </row>
    <row r="1695" customFormat="false" ht="15" hidden="false" customHeight="false" outlineLevel="0" collapsed="false">
      <c r="A1695" s="85" t="n">
        <v>1694</v>
      </c>
      <c r="B1695" s="85" t="s">
        <v>11</v>
      </c>
      <c r="C1695" s="85" t="s">
        <v>7238</v>
      </c>
      <c r="D1695" s="85" t="s">
        <v>7239</v>
      </c>
      <c r="E1695" s="86" t="s">
        <v>7240</v>
      </c>
      <c r="F1695" s="85" t="s">
        <v>7241</v>
      </c>
      <c r="G1695" s="85" t="s">
        <v>206</v>
      </c>
      <c r="H1695" s="85"/>
    </row>
    <row r="1696" customFormat="false" ht="15" hidden="false" customHeight="false" outlineLevel="0" collapsed="false">
      <c r="A1696" s="85" t="n">
        <v>1695</v>
      </c>
      <c r="B1696" s="85" t="s">
        <v>11</v>
      </c>
      <c r="C1696" s="85" t="s">
        <v>7242</v>
      </c>
      <c r="D1696" s="85" t="s">
        <v>7243</v>
      </c>
      <c r="E1696" s="86" t="s">
        <v>7244</v>
      </c>
      <c r="F1696" s="85" t="s">
        <v>7245</v>
      </c>
      <c r="G1696" s="85" t="s">
        <v>206</v>
      </c>
      <c r="H1696" s="85"/>
    </row>
    <row r="1697" customFormat="false" ht="15" hidden="false" customHeight="false" outlineLevel="0" collapsed="false">
      <c r="A1697" s="85" t="n">
        <v>1696</v>
      </c>
      <c r="B1697" s="85" t="s">
        <v>11</v>
      </c>
      <c r="C1697" s="85" t="s">
        <v>7246</v>
      </c>
      <c r="D1697" s="85" t="s">
        <v>7247</v>
      </c>
      <c r="E1697" s="86" t="s">
        <v>7248</v>
      </c>
      <c r="F1697" s="85" t="s">
        <v>7249</v>
      </c>
      <c r="G1697" s="85" t="s">
        <v>206</v>
      </c>
      <c r="H1697" s="85"/>
    </row>
    <row r="1698" customFormat="false" ht="15" hidden="false" customHeight="false" outlineLevel="0" collapsed="false">
      <c r="A1698" s="85" t="n">
        <v>1697</v>
      </c>
      <c r="B1698" s="85" t="s">
        <v>11</v>
      </c>
      <c r="C1698" s="85" t="s">
        <v>7250</v>
      </c>
      <c r="D1698" s="85" t="s">
        <v>7251</v>
      </c>
      <c r="E1698" s="86" t="s">
        <v>7252</v>
      </c>
      <c r="F1698" s="85" t="s">
        <v>4153</v>
      </c>
      <c r="G1698" s="85" t="s">
        <v>206</v>
      </c>
      <c r="H1698" s="85"/>
    </row>
    <row r="1699" customFormat="false" ht="15" hidden="false" customHeight="false" outlineLevel="0" collapsed="false">
      <c r="A1699" s="85" t="n">
        <v>1698</v>
      </c>
      <c r="B1699" s="85" t="s">
        <v>11</v>
      </c>
      <c r="C1699" s="85" t="s">
        <v>7253</v>
      </c>
      <c r="D1699" s="85" t="s">
        <v>7254</v>
      </c>
      <c r="E1699" s="86" t="s">
        <v>7255</v>
      </c>
      <c r="F1699" s="85" t="s">
        <v>7256</v>
      </c>
      <c r="G1699" s="85" t="s">
        <v>206</v>
      </c>
      <c r="H1699" s="85"/>
    </row>
    <row r="1700" customFormat="false" ht="15" hidden="false" customHeight="false" outlineLevel="0" collapsed="false">
      <c r="A1700" s="85" t="n">
        <v>1699</v>
      </c>
      <c r="B1700" s="85" t="s">
        <v>11</v>
      </c>
      <c r="C1700" s="85" t="s">
        <v>7257</v>
      </c>
      <c r="D1700" s="85" t="s">
        <v>7258</v>
      </c>
      <c r="E1700" s="86" t="s">
        <v>7259</v>
      </c>
      <c r="F1700" s="85" t="s">
        <v>7260</v>
      </c>
      <c r="G1700" s="85" t="s">
        <v>206</v>
      </c>
      <c r="H1700" s="85"/>
    </row>
    <row r="1701" customFormat="false" ht="15" hidden="false" customHeight="false" outlineLevel="0" collapsed="false">
      <c r="A1701" s="85" t="n">
        <v>1700</v>
      </c>
      <c r="B1701" s="85" t="s">
        <v>11</v>
      </c>
      <c r="C1701" s="85" t="s">
        <v>7261</v>
      </c>
      <c r="D1701" s="85" t="s">
        <v>7262</v>
      </c>
      <c r="E1701" s="86" t="s">
        <v>7263</v>
      </c>
      <c r="F1701" s="85" t="s">
        <v>7264</v>
      </c>
      <c r="G1701" s="85" t="s">
        <v>206</v>
      </c>
      <c r="H1701" s="85"/>
    </row>
    <row r="1702" customFormat="false" ht="15" hidden="false" customHeight="false" outlineLevel="0" collapsed="false">
      <c r="A1702" s="85" t="n">
        <v>1701</v>
      </c>
      <c r="B1702" s="85" t="s">
        <v>11</v>
      </c>
      <c r="C1702" s="85" t="s">
        <v>7265</v>
      </c>
      <c r="D1702" s="85" t="s">
        <v>7266</v>
      </c>
      <c r="E1702" s="86" t="s">
        <v>7267</v>
      </c>
      <c r="F1702" s="85" t="s">
        <v>7268</v>
      </c>
      <c r="G1702" s="85" t="s">
        <v>206</v>
      </c>
      <c r="H1702" s="85"/>
    </row>
    <row r="1703" customFormat="false" ht="15" hidden="false" customHeight="false" outlineLevel="0" collapsed="false">
      <c r="A1703" s="85" t="n">
        <v>1702</v>
      </c>
      <c r="B1703" s="85" t="s">
        <v>11</v>
      </c>
      <c r="C1703" s="85" t="s">
        <v>7269</v>
      </c>
      <c r="D1703" s="85" t="s">
        <v>7270</v>
      </c>
      <c r="E1703" s="86" t="s">
        <v>7271</v>
      </c>
      <c r="F1703" s="85" t="s">
        <v>7272</v>
      </c>
      <c r="G1703" s="85" t="s">
        <v>206</v>
      </c>
      <c r="H1703" s="85"/>
    </row>
    <row r="1704" customFormat="false" ht="15" hidden="false" customHeight="false" outlineLevel="0" collapsed="false">
      <c r="A1704" s="85" t="n">
        <v>1703</v>
      </c>
      <c r="B1704" s="85" t="s">
        <v>11</v>
      </c>
      <c r="C1704" s="85" t="s">
        <v>7273</v>
      </c>
      <c r="D1704" s="85" t="s">
        <v>7274</v>
      </c>
      <c r="E1704" s="86" t="s">
        <v>7275</v>
      </c>
      <c r="F1704" s="85" t="s">
        <v>7276</v>
      </c>
      <c r="G1704" s="85" t="s">
        <v>206</v>
      </c>
      <c r="H1704" s="85"/>
    </row>
    <row r="1705" customFormat="false" ht="15" hidden="false" customHeight="false" outlineLevel="0" collapsed="false">
      <c r="A1705" s="85" t="n">
        <v>1704</v>
      </c>
      <c r="B1705" s="85" t="s">
        <v>11</v>
      </c>
      <c r="C1705" s="85" t="s">
        <v>7277</v>
      </c>
      <c r="D1705" s="85" t="s">
        <v>7278</v>
      </c>
      <c r="E1705" s="86" t="s">
        <v>7279</v>
      </c>
      <c r="F1705" s="85" t="s">
        <v>7280</v>
      </c>
      <c r="G1705" s="85" t="s">
        <v>206</v>
      </c>
      <c r="H1705" s="85"/>
    </row>
    <row r="1706" customFormat="false" ht="15" hidden="false" customHeight="false" outlineLevel="0" collapsed="false">
      <c r="A1706" s="85" t="n">
        <v>1705</v>
      </c>
      <c r="B1706" s="85" t="s">
        <v>11</v>
      </c>
      <c r="C1706" s="85" t="s">
        <v>7281</v>
      </c>
      <c r="D1706" s="85" t="s">
        <v>7282</v>
      </c>
      <c r="E1706" s="86" t="s">
        <v>7283</v>
      </c>
      <c r="F1706" s="85" t="s">
        <v>7284</v>
      </c>
      <c r="G1706" s="85" t="s">
        <v>206</v>
      </c>
      <c r="H1706" s="85"/>
    </row>
    <row r="1707" customFormat="false" ht="15" hidden="false" customHeight="false" outlineLevel="0" collapsed="false">
      <c r="A1707" s="85" t="n">
        <v>1706</v>
      </c>
      <c r="B1707" s="85" t="s">
        <v>11</v>
      </c>
      <c r="C1707" s="85" t="s">
        <v>7285</v>
      </c>
      <c r="D1707" s="85" t="s">
        <v>7286</v>
      </c>
      <c r="E1707" s="86" t="s">
        <v>7287</v>
      </c>
      <c r="F1707" s="85" t="s">
        <v>7288</v>
      </c>
      <c r="G1707" s="85" t="s">
        <v>206</v>
      </c>
      <c r="H1707" s="85"/>
    </row>
    <row r="1708" customFormat="false" ht="15" hidden="false" customHeight="false" outlineLevel="0" collapsed="false">
      <c r="A1708" s="85" t="n">
        <v>1707</v>
      </c>
      <c r="B1708" s="85" t="s">
        <v>11</v>
      </c>
      <c r="C1708" s="85" t="s">
        <v>7289</v>
      </c>
      <c r="D1708" s="85" t="s">
        <v>7290</v>
      </c>
      <c r="E1708" s="86" t="s">
        <v>7291</v>
      </c>
      <c r="F1708" s="85" t="s">
        <v>7292</v>
      </c>
      <c r="G1708" s="85" t="s">
        <v>206</v>
      </c>
      <c r="H1708" s="85"/>
    </row>
    <row r="1709" customFormat="false" ht="15" hidden="false" customHeight="false" outlineLevel="0" collapsed="false">
      <c r="A1709" s="85" t="n">
        <v>1708</v>
      </c>
      <c r="B1709" s="85" t="s">
        <v>11</v>
      </c>
      <c r="C1709" s="85" t="s">
        <v>7293</v>
      </c>
      <c r="D1709" s="85" t="s">
        <v>7294</v>
      </c>
      <c r="E1709" s="86" t="s">
        <v>7295</v>
      </c>
      <c r="F1709" s="85" t="s">
        <v>7296</v>
      </c>
      <c r="G1709" s="85" t="s">
        <v>206</v>
      </c>
      <c r="H1709" s="85"/>
    </row>
    <row r="1710" customFormat="false" ht="15" hidden="false" customHeight="false" outlineLevel="0" collapsed="false">
      <c r="A1710" s="85" t="n">
        <v>1709</v>
      </c>
      <c r="B1710" s="85" t="s">
        <v>11</v>
      </c>
      <c r="C1710" s="85" t="s">
        <v>7297</v>
      </c>
      <c r="D1710" s="85" t="s">
        <v>7298</v>
      </c>
      <c r="E1710" s="86" t="s">
        <v>7299</v>
      </c>
      <c r="F1710" s="85" t="s">
        <v>7300</v>
      </c>
      <c r="G1710" s="85" t="s">
        <v>208</v>
      </c>
      <c r="H1710" s="85"/>
    </row>
    <row r="1711" customFormat="false" ht="15" hidden="false" customHeight="false" outlineLevel="0" collapsed="false">
      <c r="A1711" s="85" t="n">
        <v>1710</v>
      </c>
      <c r="B1711" s="85" t="s">
        <v>11</v>
      </c>
      <c r="C1711" s="85" t="s">
        <v>7301</v>
      </c>
      <c r="D1711" s="85" t="s">
        <v>7302</v>
      </c>
      <c r="E1711" s="86" t="s">
        <v>7303</v>
      </c>
      <c r="F1711" s="85" t="s">
        <v>7304</v>
      </c>
      <c r="G1711" s="85" t="s">
        <v>208</v>
      </c>
      <c r="H1711" s="85" t="s">
        <v>7305</v>
      </c>
    </row>
    <row r="1712" customFormat="false" ht="15" hidden="false" customHeight="false" outlineLevel="0" collapsed="false">
      <c r="A1712" s="85" t="n">
        <v>1711</v>
      </c>
      <c r="B1712" s="85" t="s">
        <v>11</v>
      </c>
      <c r="C1712" s="85" t="s">
        <v>7306</v>
      </c>
      <c r="D1712" s="85" t="s">
        <v>7307</v>
      </c>
      <c r="E1712" s="86" t="s">
        <v>7308</v>
      </c>
      <c r="F1712" s="85" t="s">
        <v>7309</v>
      </c>
      <c r="G1712" s="85" t="s">
        <v>208</v>
      </c>
      <c r="H1712" s="85"/>
    </row>
    <row r="1713" customFormat="false" ht="15" hidden="false" customHeight="false" outlineLevel="0" collapsed="false">
      <c r="A1713" s="85" t="n">
        <v>1712</v>
      </c>
      <c r="B1713" s="85" t="s">
        <v>11</v>
      </c>
      <c r="C1713" s="85" t="s">
        <v>7310</v>
      </c>
      <c r="D1713" s="85" t="s">
        <v>7311</v>
      </c>
      <c r="E1713" s="86" t="s">
        <v>4571</v>
      </c>
      <c r="F1713" s="85" t="s">
        <v>4572</v>
      </c>
      <c r="G1713" s="85" t="s">
        <v>208</v>
      </c>
      <c r="H1713" s="85"/>
    </row>
    <row r="1714" customFormat="false" ht="15" hidden="false" customHeight="false" outlineLevel="0" collapsed="false">
      <c r="A1714" s="85" t="n">
        <v>1713</v>
      </c>
      <c r="B1714" s="85" t="s">
        <v>11</v>
      </c>
      <c r="C1714" s="85" t="s">
        <v>7312</v>
      </c>
      <c r="D1714" s="85" t="s">
        <v>7313</v>
      </c>
      <c r="E1714" s="86" t="s">
        <v>7314</v>
      </c>
      <c r="F1714" s="85" t="s">
        <v>7315</v>
      </c>
      <c r="G1714" s="85" t="s">
        <v>208</v>
      </c>
      <c r="H1714" s="85"/>
    </row>
    <row r="1715" customFormat="false" ht="15" hidden="false" customHeight="false" outlineLevel="0" collapsed="false">
      <c r="A1715" s="85" t="n">
        <v>1714</v>
      </c>
      <c r="B1715" s="85" t="s">
        <v>11</v>
      </c>
      <c r="C1715" s="85" t="s">
        <v>7316</v>
      </c>
      <c r="D1715" s="85" t="s">
        <v>7317</v>
      </c>
      <c r="E1715" s="86" t="s">
        <v>7318</v>
      </c>
      <c r="F1715" s="85" t="s">
        <v>7319</v>
      </c>
      <c r="G1715" s="85" t="s">
        <v>208</v>
      </c>
      <c r="H1715" s="85"/>
    </row>
    <row r="1716" customFormat="false" ht="15" hidden="false" customHeight="false" outlineLevel="0" collapsed="false">
      <c r="A1716" s="85" t="n">
        <v>1715</v>
      </c>
      <c r="B1716" s="85" t="s">
        <v>11</v>
      </c>
      <c r="C1716" s="85" t="s">
        <v>7320</v>
      </c>
      <c r="D1716" s="85" t="s">
        <v>7321</v>
      </c>
      <c r="E1716" s="86" t="s">
        <v>7322</v>
      </c>
      <c r="F1716" s="85" t="s">
        <v>7323</v>
      </c>
      <c r="G1716" s="85" t="s">
        <v>208</v>
      </c>
      <c r="H1716" s="85"/>
    </row>
    <row r="1717" customFormat="false" ht="15" hidden="false" customHeight="false" outlineLevel="0" collapsed="false">
      <c r="A1717" s="85" t="n">
        <v>1716</v>
      </c>
      <c r="B1717" s="85" t="s">
        <v>11</v>
      </c>
      <c r="C1717" s="85" t="s">
        <v>7324</v>
      </c>
      <c r="D1717" s="85" t="s">
        <v>7325</v>
      </c>
      <c r="E1717" s="86" t="s">
        <v>7326</v>
      </c>
      <c r="F1717" s="85" t="s">
        <v>7327</v>
      </c>
      <c r="G1717" s="85" t="s">
        <v>208</v>
      </c>
      <c r="H1717" s="85" t="s">
        <v>7328</v>
      </c>
    </row>
    <row r="1718" customFormat="false" ht="15" hidden="false" customHeight="false" outlineLevel="0" collapsed="false">
      <c r="A1718" s="85" t="n">
        <v>1717</v>
      </c>
      <c r="B1718" s="85" t="s">
        <v>11</v>
      </c>
      <c r="C1718" s="85" t="s">
        <v>7329</v>
      </c>
      <c r="D1718" s="85" t="s">
        <v>7330</v>
      </c>
      <c r="E1718" s="86" t="s">
        <v>7331</v>
      </c>
      <c r="F1718" s="85" t="s">
        <v>7332</v>
      </c>
      <c r="G1718" s="85" t="s">
        <v>208</v>
      </c>
      <c r="H1718" s="85"/>
    </row>
    <row r="1719" customFormat="false" ht="15" hidden="false" customHeight="false" outlineLevel="0" collapsed="false">
      <c r="A1719" s="85" t="n">
        <v>1718</v>
      </c>
      <c r="B1719" s="85" t="s">
        <v>11</v>
      </c>
      <c r="C1719" s="85" t="s">
        <v>7333</v>
      </c>
      <c r="D1719" s="85" t="s">
        <v>7334</v>
      </c>
      <c r="E1719" s="86" t="s">
        <v>7335</v>
      </c>
      <c r="F1719" s="85" t="s">
        <v>7336</v>
      </c>
      <c r="G1719" s="85" t="s">
        <v>208</v>
      </c>
      <c r="H1719" s="85" t="s">
        <v>7337</v>
      </c>
    </row>
    <row r="1720" customFormat="false" ht="15" hidden="false" customHeight="false" outlineLevel="0" collapsed="false">
      <c r="A1720" s="85" t="n">
        <v>1719</v>
      </c>
      <c r="B1720" s="85" t="s">
        <v>11</v>
      </c>
      <c r="C1720" s="85" t="s">
        <v>7338</v>
      </c>
      <c r="D1720" s="85" t="s">
        <v>7339</v>
      </c>
      <c r="E1720" s="86" t="s">
        <v>7340</v>
      </c>
      <c r="F1720" s="85" t="s">
        <v>7341</v>
      </c>
      <c r="G1720" s="85" t="s">
        <v>208</v>
      </c>
      <c r="H1720" s="85" t="s">
        <v>7342</v>
      </c>
    </row>
    <row r="1721" customFormat="false" ht="15" hidden="false" customHeight="false" outlineLevel="0" collapsed="false">
      <c r="A1721" s="85" t="n">
        <v>1720</v>
      </c>
      <c r="B1721" s="85" t="s">
        <v>11</v>
      </c>
      <c r="C1721" s="85" t="s">
        <v>7343</v>
      </c>
      <c r="D1721" s="85" t="s">
        <v>7344</v>
      </c>
      <c r="E1721" s="86" t="s">
        <v>7345</v>
      </c>
      <c r="F1721" s="85" t="s">
        <v>7346</v>
      </c>
      <c r="G1721" s="85" t="s">
        <v>208</v>
      </c>
      <c r="H1721" s="85"/>
    </row>
    <row r="1722" customFormat="false" ht="15" hidden="false" customHeight="false" outlineLevel="0" collapsed="false">
      <c r="A1722" s="85" t="n">
        <v>1721</v>
      </c>
      <c r="B1722" s="85" t="s">
        <v>11</v>
      </c>
      <c r="C1722" s="85" t="s">
        <v>7347</v>
      </c>
      <c r="D1722" s="85" t="s">
        <v>7348</v>
      </c>
      <c r="E1722" s="86" t="s">
        <v>7349</v>
      </c>
      <c r="F1722" s="85" t="s">
        <v>7350</v>
      </c>
      <c r="G1722" s="85" t="s">
        <v>208</v>
      </c>
      <c r="H1722" s="85"/>
    </row>
    <row r="1723" customFormat="false" ht="15" hidden="false" customHeight="false" outlineLevel="0" collapsed="false">
      <c r="A1723" s="85" t="n">
        <v>1722</v>
      </c>
      <c r="B1723" s="85" t="s">
        <v>11</v>
      </c>
      <c r="C1723" s="85" t="s">
        <v>7351</v>
      </c>
      <c r="D1723" s="85" t="s">
        <v>7352</v>
      </c>
      <c r="E1723" s="86" t="s">
        <v>7353</v>
      </c>
      <c r="F1723" s="85" t="s">
        <v>7354</v>
      </c>
      <c r="G1723" s="85" t="s">
        <v>208</v>
      </c>
      <c r="H1723" s="85" t="s">
        <v>7355</v>
      </c>
    </row>
    <row r="1724" customFormat="false" ht="15" hidden="false" customHeight="false" outlineLevel="0" collapsed="false">
      <c r="A1724" s="85" t="n">
        <v>1723</v>
      </c>
      <c r="B1724" s="85" t="s">
        <v>11</v>
      </c>
      <c r="C1724" s="85" t="s">
        <v>7356</v>
      </c>
      <c r="D1724" s="85" t="s">
        <v>7357</v>
      </c>
      <c r="E1724" s="86" t="s">
        <v>7358</v>
      </c>
      <c r="F1724" s="85" t="s">
        <v>7359</v>
      </c>
      <c r="G1724" s="85" t="s">
        <v>208</v>
      </c>
      <c r="H1724" s="85"/>
    </row>
    <row r="1725" customFormat="false" ht="15" hidden="false" customHeight="false" outlineLevel="0" collapsed="false">
      <c r="A1725" s="85" t="n">
        <v>1724</v>
      </c>
      <c r="B1725" s="85" t="s">
        <v>11</v>
      </c>
      <c r="C1725" s="85" t="s">
        <v>7360</v>
      </c>
      <c r="D1725" s="85" t="s">
        <v>7361</v>
      </c>
      <c r="E1725" s="86" t="s">
        <v>7362</v>
      </c>
      <c r="F1725" s="85" t="s">
        <v>7363</v>
      </c>
      <c r="G1725" s="85" t="s">
        <v>208</v>
      </c>
      <c r="H1725" s="85"/>
    </row>
    <row r="1726" customFormat="false" ht="15" hidden="false" customHeight="false" outlineLevel="0" collapsed="false">
      <c r="A1726" s="85" t="n">
        <v>1725</v>
      </c>
      <c r="B1726" s="85" t="s">
        <v>11</v>
      </c>
      <c r="C1726" s="85" t="s">
        <v>7364</v>
      </c>
      <c r="D1726" s="85" t="s">
        <v>7365</v>
      </c>
      <c r="E1726" s="86" t="s">
        <v>7366</v>
      </c>
      <c r="F1726" s="85" t="s">
        <v>7367</v>
      </c>
      <c r="G1726" s="85" t="s">
        <v>208</v>
      </c>
      <c r="H1726" s="85"/>
    </row>
    <row r="1727" customFormat="false" ht="15" hidden="false" customHeight="false" outlineLevel="0" collapsed="false">
      <c r="A1727" s="85" t="n">
        <v>1726</v>
      </c>
      <c r="B1727" s="85" t="s">
        <v>11</v>
      </c>
      <c r="C1727" s="85" t="s">
        <v>7368</v>
      </c>
      <c r="D1727" s="85" t="s">
        <v>7369</v>
      </c>
      <c r="E1727" s="86" t="s">
        <v>7370</v>
      </c>
      <c r="F1727" s="85" t="s">
        <v>7371</v>
      </c>
      <c r="G1727" s="85" t="s">
        <v>208</v>
      </c>
      <c r="H1727" s="85" t="s">
        <v>7372</v>
      </c>
    </row>
    <row r="1728" customFormat="false" ht="15" hidden="false" customHeight="false" outlineLevel="0" collapsed="false">
      <c r="A1728" s="85" t="n">
        <v>1727</v>
      </c>
      <c r="B1728" s="85" t="s">
        <v>11</v>
      </c>
      <c r="C1728" s="85" t="s">
        <v>7373</v>
      </c>
      <c r="D1728" s="85" t="s">
        <v>7374</v>
      </c>
      <c r="E1728" s="86" t="s">
        <v>7375</v>
      </c>
      <c r="F1728" s="85" t="s">
        <v>7376</v>
      </c>
      <c r="G1728" s="85" t="s">
        <v>208</v>
      </c>
      <c r="H1728" s="85" t="s">
        <v>7377</v>
      </c>
    </row>
    <row r="1729" customFormat="false" ht="15" hidden="false" customHeight="false" outlineLevel="0" collapsed="false">
      <c r="A1729" s="85" t="n">
        <v>1728</v>
      </c>
      <c r="B1729" s="85" t="s">
        <v>11</v>
      </c>
      <c r="C1729" s="85" t="s">
        <v>7378</v>
      </c>
      <c r="D1729" s="85" t="s">
        <v>7379</v>
      </c>
      <c r="E1729" s="86" t="s">
        <v>7380</v>
      </c>
      <c r="F1729" s="85" t="s">
        <v>7381</v>
      </c>
      <c r="G1729" s="85" t="s">
        <v>208</v>
      </c>
      <c r="H1729" s="85"/>
    </row>
    <row r="1730" customFormat="false" ht="15" hidden="false" customHeight="false" outlineLevel="0" collapsed="false">
      <c r="A1730" s="85" t="n">
        <v>1729</v>
      </c>
      <c r="B1730" s="85" t="s">
        <v>11</v>
      </c>
      <c r="C1730" s="85" t="s">
        <v>7382</v>
      </c>
      <c r="D1730" s="85" t="s">
        <v>7383</v>
      </c>
      <c r="E1730" s="86" t="s">
        <v>7384</v>
      </c>
      <c r="F1730" s="85" t="s">
        <v>7385</v>
      </c>
      <c r="G1730" s="85" t="s">
        <v>210</v>
      </c>
      <c r="H1730" s="85" t="s">
        <v>7386</v>
      </c>
    </row>
    <row r="1731" customFormat="false" ht="15" hidden="false" customHeight="false" outlineLevel="0" collapsed="false">
      <c r="A1731" s="85" t="n">
        <v>1730</v>
      </c>
      <c r="B1731" s="85" t="s">
        <v>11</v>
      </c>
      <c r="C1731" s="85" t="s">
        <v>7387</v>
      </c>
      <c r="D1731" s="85" t="s">
        <v>7388</v>
      </c>
      <c r="E1731" s="86" t="s">
        <v>7389</v>
      </c>
      <c r="F1731" s="85" t="s">
        <v>7390</v>
      </c>
      <c r="G1731" s="85" t="s">
        <v>210</v>
      </c>
      <c r="H1731" s="85"/>
    </row>
    <row r="1732" customFormat="false" ht="15" hidden="false" customHeight="false" outlineLevel="0" collapsed="false">
      <c r="A1732" s="85" t="n">
        <v>1731</v>
      </c>
      <c r="B1732" s="85" t="s">
        <v>11</v>
      </c>
      <c r="C1732" s="85" t="s">
        <v>7391</v>
      </c>
      <c r="D1732" s="85" t="s">
        <v>7392</v>
      </c>
      <c r="E1732" s="86" t="s">
        <v>7393</v>
      </c>
      <c r="F1732" s="85" t="s">
        <v>7394</v>
      </c>
      <c r="G1732" s="85" t="s">
        <v>210</v>
      </c>
      <c r="H1732" s="85"/>
    </row>
    <row r="1733" customFormat="false" ht="15" hidden="false" customHeight="false" outlineLevel="0" collapsed="false">
      <c r="A1733" s="85" t="n">
        <v>1732</v>
      </c>
      <c r="B1733" s="85" t="s">
        <v>11</v>
      </c>
      <c r="C1733" s="85" t="s">
        <v>7395</v>
      </c>
      <c r="D1733" s="85" t="s">
        <v>7396</v>
      </c>
      <c r="E1733" s="86" t="s">
        <v>7397</v>
      </c>
      <c r="F1733" s="85" t="s">
        <v>7398</v>
      </c>
      <c r="G1733" s="85" t="s">
        <v>210</v>
      </c>
      <c r="H1733" s="85"/>
    </row>
    <row r="1734" customFormat="false" ht="15" hidden="false" customHeight="false" outlineLevel="0" collapsed="false">
      <c r="A1734" s="85" t="n">
        <v>1733</v>
      </c>
      <c r="B1734" s="85" t="s">
        <v>11</v>
      </c>
      <c r="C1734" s="85" t="s">
        <v>7399</v>
      </c>
      <c r="D1734" s="85" t="s">
        <v>7400</v>
      </c>
      <c r="E1734" s="86" t="s">
        <v>7401</v>
      </c>
      <c r="F1734" s="85" t="s">
        <v>7402</v>
      </c>
      <c r="G1734" s="85" t="s">
        <v>210</v>
      </c>
      <c r="H1734" s="85" t="s">
        <v>7403</v>
      </c>
    </row>
    <row r="1735" customFormat="false" ht="15" hidden="false" customHeight="false" outlineLevel="0" collapsed="false">
      <c r="A1735" s="85" t="n">
        <v>1734</v>
      </c>
      <c r="B1735" s="85" t="s">
        <v>11</v>
      </c>
      <c r="C1735" s="85" t="s">
        <v>7404</v>
      </c>
      <c r="D1735" s="85" t="s">
        <v>7405</v>
      </c>
      <c r="E1735" s="86" t="s">
        <v>7406</v>
      </c>
      <c r="F1735" s="85" t="s">
        <v>7407</v>
      </c>
      <c r="G1735" s="85" t="s">
        <v>210</v>
      </c>
      <c r="H1735" s="85"/>
    </row>
    <row r="1736" customFormat="false" ht="15" hidden="false" customHeight="false" outlineLevel="0" collapsed="false">
      <c r="A1736" s="85" t="n">
        <v>1735</v>
      </c>
      <c r="B1736" s="85" t="s">
        <v>11</v>
      </c>
      <c r="C1736" s="85" t="s">
        <v>7408</v>
      </c>
      <c r="D1736" s="85" t="s">
        <v>7409</v>
      </c>
      <c r="E1736" s="86" t="s">
        <v>7410</v>
      </c>
      <c r="F1736" s="85" t="s">
        <v>7411</v>
      </c>
      <c r="G1736" s="85" t="s">
        <v>210</v>
      </c>
      <c r="H1736" s="85" t="s">
        <v>7412</v>
      </c>
    </row>
    <row r="1737" customFormat="false" ht="15" hidden="false" customHeight="false" outlineLevel="0" collapsed="false">
      <c r="A1737" s="85" t="n">
        <v>1736</v>
      </c>
      <c r="B1737" s="85" t="s">
        <v>11</v>
      </c>
      <c r="C1737" s="85" t="s">
        <v>7413</v>
      </c>
      <c r="D1737" s="85" t="s">
        <v>7414</v>
      </c>
      <c r="E1737" s="86" t="s">
        <v>7415</v>
      </c>
      <c r="F1737" s="85" t="s">
        <v>7416</v>
      </c>
      <c r="G1737" s="85" t="s">
        <v>210</v>
      </c>
      <c r="H1737" s="85" t="s">
        <v>7417</v>
      </c>
    </row>
    <row r="1738" customFormat="false" ht="15" hidden="false" customHeight="false" outlineLevel="0" collapsed="false">
      <c r="A1738" s="85" t="n">
        <v>1737</v>
      </c>
      <c r="B1738" s="85" t="s">
        <v>11</v>
      </c>
      <c r="C1738" s="85" t="s">
        <v>7418</v>
      </c>
      <c r="D1738" s="85" t="s">
        <v>7419</v>
      </c>
      <c r="E1738" s="86" t="s">
        <v>7420</v>
      </c>
      <c r="F1738" s="85" t="s">
        <v>7421</v>
      </c>
      <c r="G1738" s="85" t="s">
        <v>210</v>
      </c>
      <c r="H1738" s="85" t="s">
        <v>7422</v>
      </c>
    </row>
    <row r="1739" customFormat="false" ht="15" hidden="false" customHeight="false" outlineLevel="0" collapsed="false">
      <c r="A1739" s="85" t="n">
        <v>1738</v>
      </c>
      <c r="B1739" s="85" t="s">
        <v>11</v>
      </c>
      <c r="C1739" s="85" t="s">
        <v>3745</v>
      </c>
      <c r="D1739" s="85" t="s">
        <v>3746</v>
      </c>
      <c r="E1739" s="86" t="s">
        <v>3747</v>
      </c>
      <c r="F1739" s="85" t="s">
        <v>3748</v>
      </c>
      <c r="G1739" s="85" t="s">
        <v>210</v>
      </c>
      <c r="H1739" s="85" t="s">
        <v>3749</v>
      </c>
    </row>
    <row r="1740" customFormat="false" ht="15" hidden="false" customHeight="false" outlineLevel="0" collapsed="false">
      <c r="A1740" s="85" t="n">
        <v>1739</v>
      </c>
      <c r="B1740" s="85" t="s">
        <v>11</v>
      </c>
      <c r="C1740" s="85" t="s">
        <v>7423</v>
      </c>
      <c r="D1740" s="85" t="s">
        <v>7424</v>
      </c>
      <c r="E1740" s="86" t="s">
        <v>7425</v>
      </c>
      <c r="F1740" s="85" t="s">
        <v>7426</v>
      </c>
      <c r="G1740" s="85" t="s">
        <v>210</v>
      </c>
      <c r="H1740" s="85"/>
    </row>
    <row r="1741" customFormat="false" ht="15" hidden="false" customHeight="false" outlineLevel="0" collapsed="false">
      <c r="A1741" s="85" t="n">
        <v>1740</v>
      </c>
      <c r="B1741" s="85" t="s">
        <v>11</v>
      </c>
      <c r="C1741" s="85" t="s">
        <v>7427</v>
      </c>
      <c r="D1741" s="85" t="s">
        <v>7428</v>
      </c>
      <c r="E1741" s="86" t="s">
        <v>7429</v>
      </c>
      <c r="F1741" s="85" t="s">
        <v>7430</v>
      </c>
      <c r="G1741" s="85" t="s">
        <v>210</v>
      </c>
      <c r="H1741" s="85"/>
    </row>
    <row r="1742" customFormat="false" ht="15" hidden="false" customHeight="false" outlineLevel="0" collapsed="false">
      <c r="A1742" s="85" t="n">
        <v>1741</v>
      </c>
      <c r="B1742" s="85" t="s">
        <v>11</v>
      </c>
      <c r="C1742" s="85" t="s">
        <v>7431</v>
      </c>
      <c r="D1742" s="85" t="s">
        <v>7432</v>
      </c>
      <c r="E1742" s="86" t="s">
        <v>7433</v>
      </c>
      <c r="F1742" s="85" t="s">
        <v>7434</v>
      </c>
      <c r="G1742" s="85" t="s">
        <v>210</v>
      </c>
      <c r="H1742" s="85"/>
    </row>
    <row r="1743" customFormat="false" ht="15" hidden="false" customHeight="false" outlineLevel="0" collapsed="false">
      <c r="A1743" s="85" t="n">
        <v>1742</v>
      </c>
      <c r="B1743" s="85" t="s">
        <v>11</v>
      </c>
      <c r="C1743" s="85" t="s">
        <v>7435</v>
      </c>
      <c r="D1743" s="85" t="s">
        <v>7436</v>
      </c>
      <c r="E1743" s="86" t="s">
        <v>7437</v>
      </c>
      <c r="F1743" s="85" t="s">
        <v>7438</v>
      </c>
      <c r="G1743" s="85" t="s">
        <v>210</v>
      </c>
      <c r="H1743" s="85"/>
    </row>
    <row r="1744" customFormat="false" ht="15" hidden="false" customHeight="false" outlineLevel="0" collapsed="false">
      <c r="A1744" s="85" t="n">
        <v>1743</v>
      </c>
      <c r="B1744" s="85" t="s">
        <v>11</v>
      </c>
      <c r="C1744" s="85" t="s">
        <v>7439</v>
      </c>
      <c r="D1744" s="85" t="s">
        <v>7440</v>
      </c>
      <c r="E1744" s="86" t="s">
        <v>7441</v>
      </c>
      <c r="F1744" s="85" t="s">
        <v>7442</v>
      </c>
      <c r="G1744" s="85" t="s">
        <v>210</v>
      </c>
      <c r="H1744" s="85"/>
    </row>
    <row r="1745" customFormat="false" ht="15" hidden="false" customHeight="false" outlineLevel="0" collapsed="false">
      <c r="A1745" s="85" t="n">
        <v>1744</v>
      </c>
      <c r="B1745" s="85" t="s">
        <v>11</v>
      </c>
      <c r="C1745" s="85" t="s">
        <v>7443</v>
      </c>
      <c r="D1745" s="85" t="s">
        <v>7444</v>
      </c>
      <c r="E1745" s="86" t="s">
        <v>7445</v>
      </c>
      <c r="F1745" s="85" t="s">
        <v>7446</v>
      </c>
      <c r="G1745" s="85" t="s">
        <v>212</v>
      </c>
      <c r="H1745" s="85" t="s">
        <v>7447</v>
      </c>
    </row>
    <row r="1746" customFormat="false" ht="15" hidden="false" customHeight="false" outlineLevel="0" collapsed="false">
      <c r="A1746" s="85" t="n">
        <v>1745</v>
      </c>
      <c r="B1746" s="85" t="s">
        <v>11</v>
      </c>
      <c r="C1746" s="85" t="s">
        <v>7448</v>
      </c>
      <c r="D1746" s="85" t="s">
        <v>7449</v>
      </c>
      <c r="E1746" s="86" t="s">
        <v>7450</v>
      </c>
      <c r="F1746" s="85" t="s">
        <v>4778</v>
      </c>
      <c r="G1746" s="85" t="s">
        <v>212</v>
      </c>
      <c r="H1746" s="85" t="s">
        <v>7451</v>
      </c>
    </row>
    <row r="1747" customFormat="false" ht="15" hidden="false" customHeight="false" outlineLevel="0" collapsed="false">
      <c r="A1747" s="85" t="n">
        <v>1746</v>
      </c>
      <c r="B1747" s="85" t="s">
        <v>11</v>
      </c>
      <c r="C1747" s="85" t="s">
        <v>7452</v>
      </c>
      <c r="D1747" s="85" t="s">
        <v>7453</v>
      </c>
      <c r="E1747" s="86" t="s">
        <v>7454</v>
      </c>
      <c r="F1747" s="85" t="s">
        <v>7455</v>
      </c>
      <c r="G1747" s="85" t="s">
        <v>212</v>
      </c>
      <c r="H1747" s="85"/>
    </row>
    <row r="1748" customFormat="false" ht="15" hidden="false" customHeight="false" outlineLevel="0" collapsed="false">
      <c r="A1748" s="85" t="n">
        <v>1747</v>
      </c>
      <c r="B1748" s="85" t="s">
        <v>11</v>
      </c>
      <c r="C1748" s="85" t="s">
        <v>7456</v>
      </c>
      <c r="D1748" s="85" t="s">
        <v>7457</v>
      </c>
      <c r="E1748" s="86" t="s">
        <v>7458</v>
      </c>
      <c r="F1748" s="85" t="s">
        <v>7459</v>
      </c>
      <c r="G1748" s="85" t="s">
        <v>212</v>
      </c>
      <c r="H1748" s="85"/>
    </row>
    <row r="1749" customFormat="false" ht="15" hidden="false" customHeight="false" outlineLevel="0" collapsed="false">
      <c r="A1749" s="85" t="n">
        <v>1748</v>
      </c>
      <c r="B1749" s="85" t="s">
        <v>11</v>
      </c>
      <c r="C1749" s="85" t="s">
        <v>7460</v>
      </c>
      <c r="D1749" s="85" t="s">
        <v>7461</v>
      </c>
      <c r="E1749" s="86" t="s">
        <v>7462</v>
      </c>
      <c r="F1749" s="85" t="s">
        <v>7463</v>
      </c>
      <c r="G1749" s="85" t="s">
        <v>212</v>
      </c>
      <c r="H1749" s="85" t="s">
        <v>7464</v>
      </c>
    </row>
    <row r="1750" customFormat="false" ht="15" hidden="false" customHeight="false" outlineLevel="0" collapsed="false">
      <c r="A1750" s="85" t="n">
        <v>1749</v>
      </c>
      <c r="B1750" s="85" t="s">
        <v>11</v>
      </c>
      <c r="C1750" s="85" t="s">
        <v>7465</v>
      </c>
      <c r="D1750" s="85" t="s">
        <v>7466</v>
      </c>
      <c r="E1750" s="86" t="s">
        <v>7467</v>
      </c>
      <c r="F1750" s="85" t="s">
        <v>7468</v>
      </c>
      <c r="G1750" s="85" t="s">
        <v>212</v>
      </c>
      <c r="H1750" s="85"/>
    </row>
    <row r="1751" customFormat="false" ht="15" hidden="false" customHeight="false" outlineLevel="0" collapsed="false">
      <c r="A1751" s="85" t="n">
        <v>1750</v>
      </c>
      <c r="B1751" s="85" t="s">
        <v>11</v>
      </c>
      <c r="C1751" s="85" t="s">
        <v>7469</v>
      </c>
      <c r="D1751" s="85" t="s">
        <v>7470</v>
      </c>
      <c r="E1751" s="86" t="s">
        <v>7471</v>
      </c>
      <c r="F1751" s="85" t="s">
        <v>7472</v>
      </c>
      <c r="G1751" s="85" t="s">
        <v>212</v>
      </c>
      <c r="H1751" s="85"/>
    </row>
    <row r="1752" customFormat="false" ht="15" hidden="false" customHeight="false" outlineLevel="0" collapsed="false">
      <c r="A1752" s="85" t="n">
        <v>1751</v>
      </c>
      <c r="B1752" s="85" t="s">
        <v>11</v>
      </c>
      <c r="C1752" s="85" t="s">
        <v>7473</v>
      </c>
      <c r="D1752" s="85" t="s">
        <v>7474</v>
      </c>
      <c r="E1752" s="86" t="s">
        <v>7475</v>
      </c>
      <c r="F1752" s="85" t="s">
        <v>7476</v>
      </c>
      <c r="G1752" s="85" t="s">
        <v>212</v>
      </c>
      <c r="H1752" s="85" t="s">
        <v>7477</v>
      </c>
    </row>
    <row r="1753" customFormat="false" ht="15" hidden="false" customHeight="false" outlineLevel="0" collapsed="false">
      <c r="A1753" s="85" t="n">
        <v>1752</v>
      </c>
      <c r="B1753" s="85" t="s">
        <v>11</v>
      </c>
      <c r="C1753" s="85" t="s">
        <v>7478</v>
      </c>
      <c r="D1753" s="85" t="s">
        <v>7479</v>
      </c>
      <c r="E1753" s="86" t="s">
        <v>7480</v>
      </c>
      <c r="F1753" s="85" t="s">
        <v>7481</v>
      </c>
      <c r="G1753" s="85" t="s">
        <v>212</v>
      </c>
      <c r="H1753" s="85" t="s">
        <v>7482</v>
      </c>
    </row>
    <row r="1754" customFormat="false" ht="15" hidden="false" customHeight="false" outlineLevel="0" collapsed="false">
      <c r="A1754" s="85" t="n">
        <v>1753</v>
      </c>
      <c r="B1754" s="85" t="s">
        <v>11</v>
      </c>
      <c r="C1754" s="85" t="s">
        <v>7483</v>
      </c>
      <c r="D1754" s="85" t="s">
        <v>7484</v>
      </c>
      <c r="E1754" s="86" t="s">
        <v>7485</v>
      </c>
      <c r="F1754" s="85" t="s">
        <v>7486</v>
      </c>
      <c r="G1754" s="85" t="s">
        <v>212</v>
      </c>
      <c r="H1754" s="85" t="s">
        <v>7487</v>
      </c>
    </row>
    <row r="1755" customFormat="false" ht="15" hidden="false" customHeight="false" outlineLevel="0" collapsed="false">
      <c r="A1755" s="85" t="n">
        <v>1754</v>
      </c>
      <c r="B1755" s="85" t="s">
        <v>11</v>
      </c>
      <c r="C1755" s="85" t="s">
        <v>7488</v>
      </c>
      <c r="D1755" s="85" t="s">
        <v>7489</v>
      </c>
      <c r="E1755" s="86" t="s">
        <v>7490</v>
      </c>
      <c r="F1755" s="85" t="s">
        <v>7491</v>
      </c>
      <c r="G1755" s="85" t="s">
        <v>212</v>
      </c>
      <c r="H1755" s="85" t="s">
        <v>7492</v>
      </c>
    </row>
    <row r="1756" customFormat="false" ht="15" hidden="false" customHeight="false" outlineLevel="0" collapsed="false">
      <c r="A1756" s="85" t="n">
        <v>1755</v>
      </c>
      <c r="B1756" s="85" t="s">
        <v>11</v>
      </c>
      <c r="C1756" s="85" t="s">
        <v>7493</v>
      </c>
      <c r="D1756" s="85" t="s">
        <v>7494</v>
      </c>
      <c r="E1756" s="86" t="s">
        <v>7495</v>
      </c>
      <c r="F1756" s="85" t="s">
        <v>7496</v>
      </c>
      <c r="G1756" s="85" t="s">
        <v>212</v>
      </c>
      <c r="H1756" s="85"/>
    </row>
    <row r="1757" customFormat="false" ht="15" hidden="false" customHeight="false" outlineLevel="0" collapsed="false">
      <c r="A1757" s="85" t="n">
        <v>1756</v>
      </c>
      <c r="B1757" s="85" t="s">
        <v>11</v>
      </c>
      <c r="C1757" s="85" t="s">
        <v>7497</v>
      </c>
      <c r="D1757" s="85" t="s">
        <v>7498</v>
      </c>
      <c r="E1757" s="86" t="s">
        <v>7499</v>
      </c>
      <c r="F1757" s="85" t="s">
        <v>7500</v>
      </c>
      <c r="G1757" s="85" t="s">
        <v>212</v>
      </c>
      <c r="H1757" s="85"/>
    </row>
    <row r="1758" customFormat="false" ht="15" hidden="false" customHeight="false" outlineLevel="0" collapsed="false">
      <c r="A1758" s="85" t="n">
        <v>1757</v>
      </c>
      <c r="B1758" s="85" t="s">
        <v>11</v>
      </c>
      <c r="C1758" s="85" t="s">
        <v>7501</v>
      </c>
      <c r="D1758" s="85" t="s">
        <v>7502</v>
      </c>
      <c r="E1758" s="86" t="s">
        <v>7503</v>
      </c>
      <c r="F1758" s="85" t="s">
        <v>7504</v>
      </c>
      <c r="G1758" s="85" t="s">
        <v>212</v>
      </c>
      <c r="H1758" s="85"/>
    </row>
    <row r="1759" customFormat="false" ht="15" hidden="false" customHeight="false" outlineLevel="0" collapsed="false">
      <c r="A1759" s="85" t="n">
        <v>1758</v>
      </c>
      <c r="B1759" s="85" t="s">
        <v>11</v>
      </c>
      <c r="C1759" s="85" t="s">
        <v>7505</v>
      </c>
      <c r="D1759" s="85" t="s">
        <v>7506</v>
      </c>
      <c r="E1759" s="86" t="s">
        <v>7507</v>
      </c>
      <c r="F1759" s="85" t="s">
        <v>7508</v>
      </c>
      <c r="G1759" s="85" t="s">
        <v>212</v>
      </c>
      <c r="H1759" s="85" t="s">
        <v>7509</v>
      </c>
    </row>
    <row r="1760" customFormat="false" ht="15" hidden="false" customHeight="false" outlineLevel="0" collapsed="false">
      <c r="A1760" s="85" t="n">
        <v>1759</v>
      </c>
      <c r="B1760" s="85" t="s">
        <v>11</v>
      </c>
      <c r="C1760" s="85" t="s">
        <v>7510</v>
      </c>
      <c r="D1760" s="85" t="s">
        <v>7511</v>
      </c>
      <c r="E1760" s="86" t="s">
        <v>7512</v>
      </c>
      <c r="F1760" s="85" t="s">
        <v>7513</v>
      </c>
      <c r="G1760" s="85" t="s">
        <v>212</v>
      </c>
      <c r="H1760" s="85" t="s">
        <v>7514</v>
      </c>
    </row>
    <row r="1761" customFormat="false" ht="15" hidden="false" customHeight="false" outlineLevel="0" collapsed="false">
      <c r="A1761" s="85" t="n">
        <v>1760</v>
      </c>
      <c r="B1761" s="85" t="s">
        <v>11</v>
      </c>
      <c r="C1761" s="85" t="s">
        <v>7515</v>
      </c>
      <c r="D1761" s="85" t="s">
        <v>7516</v>
      </c>
      <c r="E1761" s="86" t="s">
        <v>7517</v>
      </c>
      <c r="F1761" s="85" t="s">
        <v>7518</v>
      </c>
      <c r="G1761" s="85" t="s">
        <v>212</v>
      </c>
      <c r="H1761" s="85" t="s">
        <v>5206</v>
      </c>
    </row>
    <row r="1762" customFormat="false" ht="15" hidden="false" customHeight="false" outlineLevel="0" collapsed="false">
      <c r="A1762" s="85" t="n">
        <v>1761</v>
      </c>
      <c r="B1762" s="85" t="s">
        <v>11</v>
      </c>
      <c r="C1762" s="85" t="s">
        <v>7519</v>
      </c>
      <c r="D1762" s="85" t="s">
        <v>7520</v>
      </c>
      <c r="E1762" s="86" t="s">
        <v>7521</v>
      </c>
      <c r="F1762" s="85" t="s">
        <v>7522</v>
      </c>
      <c r="G1762" s="85" t="s">
        <v>212</v>
      </c>
      <c r="H1762" s="85"/>
    </row>
    <row r="1763" customFormat="false" ht="15" hidden="false" customHeight="false" outlineLevel="0" collapsed="false">
      <c r="A1763" s="85" t="n">
        <v>1762</v>
      </c>
      <c r="B1763" s="85" t="s">
        <v>11</v>
      </c>
      <c r="C1763" s="85" t="s">
        <v>7523</v>
      </c>
      <c r="D1763" s="85" t="s">
        <v>7524</v>
      </c>
      <c r="E1763" s="86" t="s">
        <v>422</v>
      </c>
      <c r="F1763" s="85" t="s">
        <v>423</v>
      </c>
      <c r="G1763" s="85" t="s">
        <v>214</v>
      </c>
      <c r="H1763" s="85"/>
    </row>
    <row r="1764" customFormat="false" ht="15" hidden="false" customHeight="false" outlineLevel="0" collapsed="false">
      <c r="A1764" s="85" t="n">
        <v>1763</v>
      </c>
      <c r="B1764" s="85" t="s">
        <v>11</v>
      </c>
      <c r="C1764" s="85" t="s">
        <v>7525</v>
      </c>
      <c r="D1764" s="85" t="s">
        <v>7526</v>
      </c>
      <c r="E1764" s="86" t="s">
        <v>7527</v>
      </c>
      <c r="F1764" s="85" t="s">
        <v>7528</v>
      </c>
      <c r="G1764" s="85" t="s">
        <v>214</v>
      </c>
      <c r="H1764" s="85" t="s">
        <v>7529</v>
      </c>
    </row>
    <row r="1765" customFormat="false" ht="15" hidden="false" customHeight="false" outlineLevel="0" collapsed="false">
      <c r="A1765" s="85" t="n">
        <v>1764</v>
      </c>
      <c r="B1765" s="85" t="s">
        <v>11</v>
      </c>
      <c r="C1765" s="85" t="s">
        <v>7530</v>
      </c>
      <c r="D1765" s="85" t="s">
        <v>7531</v>
      </c>
      <c r="E1765" s="86" t="s">
        <v>7532</v>
      </c>
      <c r="F1765" s="85" t="s">
        <v>7533</v>
      </c>
      <c r="G1765" s="85" t="s">
        <v>214</v>
      </c>
      <c r="H1765" s="85"/>
    </row>
    <row r="1766" customFormat="false" ht="15" hidden="false" customHeight="false" outlineLevel="0" collapsed="false">
      <c r="A1766" s="85" t="n">
        <v>1765</v>
      </c>
      <c r="B1766" s="85" t="s">
        <v>11</v>
      </c>
      <c r="C1766" s="85" t="s">
        <v>7534</v>
      </c>
      <c r="D1766" s="85" t="s">
        <v>7535</v>
      </c>
      <c r="E1766" s="86" t="s">
        <v>7536</v>
      </c>
      <c r="F1766" s="85" t="s">
        <v>7537</v>
      </c>
      <c r="G1766" s="85" t="s">
        <v>214</v>
      </c>
      <c r="H1766" s="85"/>
    </row>
    <row r="1767" customFormat="false" ht="15" hidden="false" customHeight="false" outlineLevel="0" collapsed="false">
      <c r="A1767" s="85" t="n">
        <v>1766</v>
      </c>
      <c r="B1767" s="85" t="s">
        <v>11</v>
      </c>
      <c r="C1767" s="85" t="s">
        <v>7538</v>
      </c>
      <c r="D1767" s="85" t="s">
        <v>7539</v>
      </c>
      <c r="E1767" s="86" t="s">
        <v>7540</v>
      </c>
      <c r="F1767" s="85" t="s">
        <v>7541</v>
      </c>
      <c r="G1767" s="85" t="s">
        <v>214</v>
      </c>
      <c r="H1767" s="85"/>
    </row>
    <row r="1768" customFormat="false" ht="15" hidden="false" customHeight="false" outlineLevel="0" collapsed="false">
      <c r="A1768" s="85" t="n">
        <v>1767</v>
      </c>
      <c r="B1768" s="85" t="s">
        <v>11</v>
      </c>
      <c r="C1768" s="85" t="s">
        <v>7542</v>
      </c>
      <c r="D1768" s="85" t="s">
        <v>7543</v>
      </c>
      <c r="E1768" s="86" t="s">
        <v>7544</v>
      </c>
      <c r="F1768" s="85" t="s">
        <v>7545</v>
      </c>
      <c r="G1768" s="85" t="s">
        <v>214</v>
      </c>
      <c r="H1768" s="85" t="s">
        <v>5294</v>
      </c>
    </row>
    <row r="1769" customFormat="false" ht="15" hidden="false" customHeight="false" outlineLevel="0" collapsed="false">
      <c r="A1769" s="85" t="n">
        <v>1768</v>
      </c>
      <c r="B1769" s="85" t="s">
        <v>11</v>
      </c>
      <c r="C1769" s="85" t="s">
        <v>7546</v>
      </c>
      <c r="D1769" s="85" t="s">
        <v>7547</v>
      </c>
      <c r="E1769" s="86" t="s">
        <v>7548</v>
      </c>
      <c r="F1769" s="85" t="s">
        <v>7549</v>
      </c>
      <c r="G1769" s="85" t="s">
        <v>214</v>
      </c>
      <c r="H1769" s="85"/>
    </row>
    <row r="1770" customFormat="false" ht="15" hidden="false" customHeight="false" outlineLevel="0" collapsed="false">
      <c r="A1770" s="85" t="n">
        <v>1769</v>
      </c>
      <c r="B1770" s="85" t="s">
        <v>11</v>
      </c>
      <c r="C1770" s="85" t="s">
        <v>7550</v>
      </c>
      <c r="D1770" s="85" t="s">
        <v>7551</v>
      </c>
      <c r="E1770" s="86" t="s">
        <v>7552</v>
      </c>
      <c r="F1770" s="85" t="s">
        <v>7553</v>
      </c>
      <c r="G1770" s="85" t="s">
        <v>214</v>
      </c>
      <c r="H1770" s="85"/>
    </row>
    <row r="1771" customFormat="false" ht="15" hidden="false" customHeight="false" outlineLevel="0" collapsed="false">
      <c r="A1771" s="85" t="n">
        <v>1770</v>
      </c>
      <c r="B1771" s="85" t="s">
        <v>11</v>
      </c>
      <c r="C1771" s="85" t="s">
        <v>7554</v>
      </c>
      <c r="D1771" s="85" t="s">
        <v>7555</v>
      </c>
      <c r="E1771" s="86" t="s">
        <v>7556</v>
      </c>
      <c r="F1771" s="85" t="s">
        <v>7557</v>
      </c>
      <c r="G1771" s="85" t="s">
        <v>214</v>
      </c>
      <c r="H1771" s="85"/>
    </row>
    <row r="1772" customFormat="false" ht="15" hidden="false" customHeight="false" outlineLevel="0" collapsed="false">
      <c r="A1772" s="85" t="n">
        <v>1771</v>
      </c>
      <c r="B1772" s="85" t="s">
        <v>11</v>
      </c>
      <c r="C1772" s="85" t="s">
        <v>7558</v>
      </c>
      <c r="D1772" s="85" t="s">
        <v>7559</v>
      </c>
      <c r="E1772" s="86" t="s">
        <v>7560</v>
      </c>
      <c r="F1772" s="85" t="s">
        <v>7561</v>
      </c>
      <c r="G1772" s="85" t="s">
        <v>214</v>
      </c>
      <c r="H1772" s="85"/>
    </row>
    <row r="1773" customFormat="false" ht="15" hidden="false" customHeight="false" outlineLevel="0" collapsed="false">
      <c r="A1773" s="85" t="n">
        <v>1772</v>
      </c>
      <c r="B1773" s="85" t="s">
        <v>11</v>
      </c>
      <c r="C1773" s="85" t="s">
        <v>7562</v>
      </c>
      <c r="D1773" s="85" t="s">
        <v>7563</v>
      </c>
      <c r="E1773" s="86" t="s">
        <v>7564</v>
      </c>
      <c r="F1773" s="85" t="s">
        <v>7565</v>
      </c>
      <c r="G1773" s="85" t="s">
        <v>214</v>
      </c>
      <c r="H1773" s="85"/>
    </row>
    <row r="1774" customFormat="false" ht="15" hidden="false" customHeight="false" outlineLevel="0" collapsed="false">
      <c r="A1774" s="85" t="n">
        <v>1773</v>
      </c>
      <c r="B1774" s="85" t="s">
        <v>11</v>
      </c>
      <c r="C1774" s="85" t="s">
        <v>7566</v>
      </c>
      <c r="D1774" s="85" t="s">
        <v>7567</v>
      </c>
      <c r="E1774" s="86" t="s">
        <v>7568</v>
      </c>
      <c r="F1774" s="85" t="s">
        <v>7569</v>
      </c>
      <c r="G1774" s="85" t="s">
        <v>214</v>
      </c>
      <c r="H1774" s="85"/>
    </row>
    <row r="1775" customFormat="false" ht="15" hidden="false" customHeight="false" outlineLevel="0" collapsed="false">
      <c r="A1775" s="85" t="n">
        <v>1774</v>
      </c>
      <c r="B1775" s="85" t="s">
        <v>11</v>
      </c>
      <c r="C1775" s="85" t="s">
        <v>7570</v>
      </c>
      <c r="D1775" s="85" t="s">
        <v>7571</v>
      </c>
      <c r="E1775" s="86" t="s">
        <v>7572</v>
      </c>
      <c r="F1775" s="85" t="s">
        <v>7573</v>
      </c>
      <c r="G1775" s="85" t="s">
        <v>214</v>
      </c>
      <c r="H1775" s="85"/>
    </row>
    <row r="1776" customFormat="false" ht="15" hidden="false" customHeight="false" outlineLevel="0" collapsed="false">
      <c r="A1776" s="85" t="n">
        <v>1775</v>
      </c>
      <c r="B1776" s="85" t="s">
        <v>11</v>
      </c>
      <c r="C1776" s="85" t="s">
        <v>7574</v>
      </c>
      <c r="D1776" s="85" t="s">
        <v>7575</v>
      </c>
      <c r="E1776" s="86" t="s">
        <v>7576</v>
      </c>
      <c r="F1776" s="85" t="s">
        <v>7577</v>
      </c>
      <c r="G1776" s="85" t="s">
        <v>214</v>
      </c>
      <c r="H1776" s="85"/>
    </row>
    <row r="1777" customFormat="false" ht="15" hidden="false" customHeight="false" outlineLevel="0" collapsed="false">
      <c r="A1777" s="85" t="n">
        <v>1776</v>
      </c>
      <c r="B1777" s="85" t="s">
        <v>11</v>
      </c>
      <c r="C1777" s="85" t="s">
        <v>7578</v>
      </c>
      <c r="D1777" s="85" t="s">
        <v>7579</v>
      </c>
      <c r="E1777" s="86" t="s">
        <v>7580</v>
      </c>
      <c r="F1777" s="85" t="s">
        <v>7581</v>
      </c>
      <c r="G1777" s="85" t="s">
        <v>214</v>
      </c>
      <c r="H1777" s="85"/>
    </row>
    <row r="1778" customFormat="false" ht="15" hidden="false" customHeight="false" outlineLevel="0" collapsed="false">
      <c r="A1778" s="85" t="n">
        <v>1777</v>
      </c>
      <c r="B1778" s="85" t="s">
        <v>11</v>
      </c>
      <c r="C1778" s="85" t="s">
        <v>7582</v>
      </c>
      <c r="D1778" s="85" t="s">
        <v>7583</v>
      </c>
      <c r="E1778" s="86" t="s">
        <v>7584</v>
      </c>
      <c r="F1778" s="85" t="s">
        <v>7585</v>
      </c>
      <c r="G1778" s="85" t="s">
        <v>216</v>
      </c>
      <c r="H1778" s="85"/>
    </row>
    <row r="1779" customFormat="false" ht="15" hidden="false" customHeight="false" outlineLevel="0" collapsed="false">
      <c r="A1779" s="85" t="n">
        <v>1778</v>
      </c>
      <c r="B1779" s="85" t="s">
        <v>11</v>
      </c>
      <c r="C1779" s="85" t="s">
        <v>7586</v>
      </c>
      <c r="D1779" s="85" t="s">
        <v>7587</v>
      </c>
      <c r="E1779" s="86" t="s">
        <v>7588</v>
      </c>
      <c r="F1779" s="85" t="s">
        <v>7589</v>
      </c>
      <c r="G1779" s="85" t="s">
        <v>216</v>
      </c>
      <c r="H1779" s="85"/>
    </row>
    <row r="1780" customFormat="false" ht="15" hidden="false" customHeight="false" outlineLevel="0" collapsed="false">
      <c r="A1780" s="85" t="n">
        <v>1779</v>
      </c>
      <c r="B1780" s="85" t="s">
        <v>11</v>
      </c>
      <c r="C1780" s="85" t="s">
        <v>7590</v>
      </c>
      <c r="D1780" s="85" t="s">
        <v>7591</v>
      </c>
      <c r="E1780" s="86" t="s">
        <v>7592</v>
      </c>
      <c r="F1780" s="85" t="s">
        <v>7593</v>
      </c>
      <c r="G1780" s="85" t="s">
        <v>216</v>
      </c>
      <c r="H1780" s="85"/>
    </row>
    <row r="1781" customFormat="false" ht="15" hidden="false" customHeight="false" outlineLevel="0" collapsed="false">
      <c r="A1781" s="85" t="n">
        <v>1780</v>
      </c>
      <c r="B1781" s="85" t="s">
        <v>11</v>
      </c>
      <c r="C1781" s="85" t="s">
        <v>7594</v>
      </c>
      <c r="D1781" s="85" t="s">
        <v>7595</v>
      </c>
      <c r="E1781" s="86" t="s">
        <v>7596</v>
      </c>
      <c r="F1781" s="85" t="s">
        <v>7597</v>
      </c>
      <c r="G1781" s="85" t="s">
        <v>216</v>
      </c>
      <c r="H1781" s="85" t="s">
        <v>7598</v>
      </c>
    </row>
    <row r="1782" customFormat="false" ht="15" hidden="false" customHeight="false" outlineLevel="0" collapsed="false">
      <c r="A1782" s="85" t="n">
        <v>1781</v>
      </c>
      <c r="B1782" s="85" t="s">
        <v>11</v>
      </c>
      <c r="C1782" s="85" t="s">
        <v>7599</v>
      </c>
      <c r="D1782" s="85" t="s">
        <v>7600</v>
      </c>
      <c r="E1782" s="86" t="s">
        <v>7601</v>
      </c>
      <c r="F1782" s="85" t="s">
        <v>7602</v>
      </c>
      <c r="G1782" s="85" t="s">
        <v>216</v>
      </c>
      <c r="H1782" s="85"/>
    </row>
    <row r="1783" customFormat="false" ht="15" hidden="false" customHeight="false" outlineLevel="0" collapsed="false">
      <c r="A1783" s="85" t="n">
        <v>1782</v>
      </c>
      <c r="B1783" s="85" t="s">
        <v>11</v>
      </c>
      <c r="C1783" s="85" t="s">
        <v>7603</v>
      </c>
      <c r="D1783" s="85" t="s">
        <v>7604</v>
      </c>
      <c r="E1783" s="86" t="s">
        <v>7605</v>
      </c>
      <c r="F1783" s="85" t="s">
        <v>7606</v>
      </c>
      <c r="G1783" s="85" t="s">
        <v>216</v>
      </c>
      <c r="H1783" s="85" t="s">
        <v>7607</v>
      </c>
    </row>
    <row r="1784" customFormat="false" ht="15" hidden="false" customHeight="false" outlineLevel="0" collapsed="false">
      <c r="A1784" s="85" t="n">
        <v>1783</v>
      </c>
      <c r="B1784" s="85" t="s">
        <v>11</v>
      </c>
      <c r="C1784" s="85" t="s">
        <v>7608</v>
      </c>
      <c r="D1784" s="85" t="s">
        <v>7609</v>
      </c>
      <c r="E1784" s="86" t="s">
        <v>7610</v>
      </c>
      <c r="F1784" s="85" t="s">
        <v>7611</v>
      </c>
      <c r="G1784" s="85" t="s">
        <v>216</v>
      </c>
      <c r="H1784" s="85"/>
    </row>
    <row r="1785" customFormat="false" ht="15" hidden="false" customHeight="false" outlineLevel="0" collapsed="false">
      <c r="A1785" s="85" t="n">
        <v>1784</v>
      </c>
      <c r="B1785" s="85" t="s">
        <v>11</v>
      </c>
      <c r="C1785" s="85" t="s">
        <v>7612</v>
      </c>
      <c r="D1785" s="85" t="s">
        <v>7613</v>
      </c>
      <c r="E1785" s="86" t="s">
        <v>7614</v>
      </c>
      <c r="F1785" s="85" t="s">
        <v>7615</v>
      </c>
      <c r="G1785" s="85" t="s">
        <v>216</v>
      </c>
      <c r="H1785" s="85"/>
    </row>
    <row r="1786" customFormat="false" ht="15" hidden="false" customHeight="false" outlineLevel="0" collapsed="false">
      <c r="A1786" s="85" t="n">
        <v>1785</v>
      </c>
      <c r="B1786" s="85" t="s">
        <v>11</v>
      </c>
      <c r="C1786" s="85" t="s">
        <v>7616</v>
      </c>
      <c r="D1786" s="85" t="s">
        <v>7617</v>
      </c>
      <c r="E1786" s="86" t="s">
        <v>7618</v>
      </c>
      <c r="F1786" s="85" t="s">
        <v>7619</v>
      </c>
      <c r="G1786" s="85" t="s">
        <v>216</v>
      </c>
      <c r="H1786" s="85"/>
    </row>
    <row r="1787" customFormat="false" ht="15" hidden="false" customHeight="false" outlineLevel="0" collapsed="false">
      <c r="A1787" s="85" t="n">
        <v>1786</v>
      </c>
      <c r="B1787" s="85" t="s">
        <v>11</v>
      </c>
      <c r="C1787" s="85" t="s">
        <v>7620</v>
      </c>
      <c r="D1787" s="85" t="s">
        <v>7621</v>
      </c>
      <c r="E1787" s="86" t="s">
        <v>7622</v>
      </c>
      <c r="F1787" s="85" t="s">
        <v>7623</v>
      </c>
      <c r="G1787" s="85" t="s">
        <v>216</v>
      </c>
      <c r="H1787" s="85"/>
    </row>
    <row r="1788" customFormat="false" ht="15" hidden="false" customHeight="false" outlineLevel="0" collapsed="false">
      <c r="A1788" s="85" t="n">
        <v>1787</v>
      </c>
      <c r="B1788" s="85" t="s">
        <v>11</v>
      </c>
      <c r="C1788" s="85" t="s">
        <v>7624</v>
      </c>
      <c r="D1788" s="85" t="s">
        <v>7625</v>
      </c>
      <c r="E1788" s="86" t="s">
        <v>7626</v>
      </c>
      <c r="F1788" s="85" t="s">
        <v>7627</v>
      </c>
      <c r="G1788" s="85" t="s">
        <v>216</v>
      </c>
      <c r="H1788" s="85"/>
    </row>
    <row r="1789" customFormat="false" ht="15" hidden="false" customHeight="false" outlineLevel="0" collapsed="false">
      <c r="A1789" s="85" t="n">
        <v>1788</v>
      </c>
      <c r="B1789" s="85" t="s">
        <v>11</v>
      </c>
      <c r="C1789" s="85" t="s">
        <v>7628</v>
      </c>
      <c r="D1789" s="85" t="s">
        <v>7629</v>
      </c>
      <c r="E1789" s="86" t="s">
        <v>7630</v>
      </c>
      <c r="F1789" s="85" t="s">
        <v>7631</v>
      </c>
      <c r="G1789" s="85" t="s">
        <v>216</v>
      </c>
      <c r="H1789" s="85"/>
    </row>
    <row r="1790" customFormat="false" ht="15" hidden="false" customHeight="false" outlineLevel="0" collapsed="false">
      <c r="A1790" s="85" t="n">
        <v>1789</v>
      </c>
      <c r="B1790" s="85" t="s">
        <v>11</v>
      </c>
      <c r="C1790" s="85" t="s">
        <v>7632</v>
      </c>
      <c r="D1790" s="85" t="s">
        <v>7633</v>
      </c>
      <c r="E1790" s="86" t="s">
        <v>7634</v>
      </c>
      <c r="F1790" s="85" t="s">
        <v>7635</v>
      </c>
      <c r="G1790" s="85" t="s">
        <v>216</v>
      </c>
      <c r="H1790" s="85"/>
    </row>
    <row r="1791" customFormat="false" ht="15" hidden="false" customHeight="false" outlineLevel="0" collapsed="false">
      <c r="A1791" s="85" t="n">
        <v>1790</v>
      </c>
      <c r="B1791" s="85" t="s">
        <v>11</v>
      </c>
      <c r="C1791" s="85" t="s">
        <v>7636</v>
      </c>
      <c r="D1791" s="85" t="s">
        <v>7637</v>
      </c>
      <c r="E1791" s="86" t="s">
        <v>7638</v>
      </c>
      <c r="F1791" s="85" t="s">
        <v>7639</v>
      </c>
      <c r="G1791" s="85" t="s">
        <v>216</v>
      </c>
      <c r="H1791" s="85"/>
    </row>
    <row r="1792" customFormat="false" ht="15" hidden="false" customHeight="false" outlineLevel="0" collapsed="false">
      <c r="A1792" s="85" t="n">
        <v>1791</v>
      </c>
      <c r="B1792" s="85" t="s">
        <v>11</v>
      </c>
      <c r="C1792" s="85" t="s">
        <v>7640</v>
      </c>
      <c r="D1792" s="85" t="s">
        <v>7641</v>
      </c>
      <c r="E1792" s="86" t="s">
        <v>7642</v>
      </c>
      <c r="F1792" s="85" t="s">
        <v>7643</v>
      </c>
      <c r="G1792" s="85" t="s">
        <v>216</v>
      </c>
      <c r="H1792" s="85"/>
    </row>
    <row r="1793" customFormat="false" ht="15" hidden="false" customHeight="false" outlineLevel="0" collapsed="false">
      <c r="A1793" s="85" t="n">
        <v>1792</v>
      </c>
      <c r="B1793" s="85" t="s">
        <v>11</v>
      </c>
      <c r="C1793" s="85" t="s">
        <v>7644</v>
      </c>
      <c r="D1793" s="85" t="s">
        <v>7645</v>
      </c>
      <c r="E1793" s="86" t="s">
        <v>7646</v>
      </c>
      <c r="F1793" s="85" t="s">
        <v>7647</v>
      </c>
      <c r="G1793" s="85" t="s">
        <v>216</v>
      </c>
      <c r="H1793" s="85"/>
    </row>
    <row r="1794" customFormat="false" ht="15" hidden="false" customHeight="false" outlineLevel="0" collapsed="false">
      <c r="A1794" s="85" t="n">
        <v>1793</v>
      </c>
      <c r="B1794" s="85" t="s">
        <v>11</v>
      </c>
      <c r="C1794" s="85" t="s">
        <v>7648</v>
      </c>
      <c r="D1794" s="85" t="s">
        <v>7649</v>
      </c>
      <c r="E1794" s="86" t="s">
        <v>7650</v>
      </c>
      <c r="F1794" s="85" t="s">
        <v>7651</v>
      </c>
      <c r="G1794" s="85" t="s">
        <v>216</v>
      </c>
      <c r="H1794" s="85"/>
    </row>
    <row r="1795" customFormat="false" ht="15" hidden="false" customHeight="false" outlineLevel="0" collapsed="false">
      <c r="A1795" s="85" t="n">
        <v>1794</v>
      </c>
      <c r="B1795" s="85" t="s">
        <v>11</v>
      </c>
      <c r="C1795" s="85" t="s">
        <v>7652</v>
      </c>
      <c r="D1795" s="85" t="s">
        <v>7653</v>
      </c>
      <c r="E1795" s="86" t="s">
        <v>7654</v>
      </c>
      <c r="F1795" s="85" t="s">
        <v>7655</v>
      </c>
      <c r="G1795" s="85" t="s">
        <v>216</v>
      </c>
      <c r="H1795" s="85"/>
    </row>
    <row r="1796" customFormat="false" ht="15" hidden="false" customHeight="false" outlineLevel="0" collapsed="false">
      <c r="A1796" s="85" t="n">
        <v>1795</v>
      </c>
      <c r="B1796" s="85" t="s">
        <v>11</v>
      </c>
      <c r="C1796" s="85" t="s">
        <v>7656</v>
      </c>
      <c r="D1796" s="85" t="s">
        <v>7657</v>
      </c>
      <c r="E1796" s="86" t="s">
        <v>7658</v>
      </c>
      <c r="F1796" s="85" t="s">
        <v>7659</v>
      </c>
      <c r="G1796" s="85" t="s">
        <v>216</v>
      </c>
      <c r="H1796" s="85"/>
    </row>
    <row r="1797" customFormat="false" ht="15" hidden="false" customHeight="false" outlineLevel="0" collapsed="false">
      <c r="A1797" s="85" t="n">
        <v>1796</v>
      </c>
      <c r="B1797" s="85" t="s">
        <v>11</v>
      </c>
      <c r="C1797" s="85" t="s">
        <v>7660</v>
      </c>
      <c r="D1797" s="85" t="s">
        <v>7661</v>
      </c>
      <c r="E1797" s="86" t="s">
        <v>7662</v>
      </c>
      <c r="F1797" s="85" t="s">
        <v>7663</v>
      </c>
      <c r="G1797" s="85" t="s">
        <v>216</v>
      </c>
      <c r="H1797" s="85"/>
    </row>
    <row r="1798" customFormat="false" ht="15" hidden="false" customHeight="false" outlineLevel="0" collapsed="false">
      <c r="A1798" s="85" t="n">
        <v>1797</v>
      </c>
      <c r="B1798" s="85" t="s">
        <v>11</v>
      </c>
      <c r="C1798" s="85" t="s">
        <v>7664</v>
      </c>
      <c r="D1798" s="85" t="s">
        <v>7665</v>
      </c>
      <c r="E1798" s="86" t="s">
        <v>7666</v>
      </c>
      <c r="F1798" s="85" t="s">
        <v>7667</v>
      </c>
      <c r="G1798" s="85" t="s">
        <v>216</v>
      </c>
      <c r="H1798" s="85"/>
    </row>
    <row r="1799" customFormat="false" ht="15" hidden="false" customHeight="false" outlineLevel="0" collapsed="false">
      <c r="A1799" s="85" t="n">
        <v>1798</v>
      </c>
      <c r="B1799" s="85" t="s">
        <v>11</v>
      </c>
      <c r="C1799" s="85" t="s">
        <v>7668</v>
      </c>
      <c r="D1799" s="85" t="s">
        <v>7669</v>
      </c>
      <c r="E1799" s="86" t="s">
        <v>7670</v>
      </c>
      <c r="F1799" s="85" t="s">
        <v>7671</v>
      </c>
      <c r="G1799" s="85" t="s">
        <v>216</v>
      </c>
      <c r="H1799" s="85"/>
    </row>
    <row r="1800" customFormat="false" ht="15" hidden="false" customHeight="false" outlineLevel="0" collapsed="false">
      <c r="A1800" s="85" t="n">
        <v>1799</v>
      </c>
      <c r="B1800" s="85" t="s">
        <v>11</v>
      </c>
      <c r="C1800" s="85" t="s">
        <v>7672</v>
      </c>
      <c r="D1800" s="85" t="s">
        <v>7673</v>
      </c>
      <c r="E1800" s="86" t="s">
        <v>7674</v>
      </c>
      <c r="F1800" s="85" t="s">
        <v>7675</v>
      </c>
      <c r="G1800" s="85" t="s">
        <v>216</v>
      </c>
      <c r="H1800" s="85"/>
    </row>
    <row r="1801" customFormat="false" ht="15" hidden="false" customHeight="false" outlineLevel="0" collapsed="false">
      <c r="A1801" s="85" t="n">
        <v>1800</v>
      </c>
      <c r="B1801" s="85" t="s">
        <v>11</v>
      </c>
      <c r="C1801" s="85" t="s">
        <v>7676</v>
      </c>
      <c r="D1801" s="85" t="s">
        <v>7677</v>
      </c>
      <c r="E1801" s="86" t="s">
        <v>7678</v>
      </c>
      <c r="F1801" s="85" t="s">
        <v>7679</v>
      </c>
      <c r="G1801" s="85" t="s">
        <v>216</v>
      </c>
      <c r="H1801" s="85"/>
    </row>
    <row r="1802" customFormat="false" ht="15" hidden="false" customHeight="false" outlineLevel="0" collapsed="false">
      <c r="A1802" s="85" t="n">
        <v>1801</v>
      </c>
      <c r="B1802" s="85" t="s">
        <v>11</v>
      </c>
      <c r="C1802" s="85" t="s">
        <v>7680</v>
      </c>
      <c r="D1802" s="85" t="s">
        <v>7681</v>
      </c>
      <c r="E1802" s="86" t="s">
        <v>7682</v>
      </c>
      <c r="F1802" s="85" t="s">
        <v>7683</v>
      </c>
      <c r="G1802" s="85" t="s">
        <v>216</v>
      </c>
      <c r="H1802" s="85"/>
    </row>
    <row r="1803" customFormat="false" ht="15" hidden="false" customHeight="false" outlineLevel="0" collapsed="false">
      <c r="A1803" s="85" t="n">
        <v>1802</v>
      </c>
      <c r="B1803" s="85" t="s">
        <v>11</v>
      </c>
      <c r="C1803" s="85" t="s">
        <v>7684</v>
      </c>
      <c r="D1803" s="85" t="s">
        <v>7685</v>
      </c>
      <c r="E1803" s="86" t="s">
        <v>7686</v>
      </c>
      <c r="F1803" s="85" t="s">
        <v>7687</v>
      </c>
      <c r="G1803" s="85" t="s">
        <v>216</v>
      </c>
      <c r="H1803" s="85"/>
    </row>
    <row r="1804" customFormat="false" ht="15" hidden="false" customHeight="false" outlineLevel="0" collapsed="false">
      <c r="A1804" s="85" t="n">
        <v>1803</v>
      </c>
      <c r="B1804" s="85" t="s">
        <v>11</v>
      </c>
      <c r="C1804" s="85" t="s">
        <v>7688</v>
      </c>
      <c r="D1804" s="85" t="s">
        <v>7689</v>
      </c>
      <c r="E1804" s="86" t="s">
        <v>7690</v>
      </c>
      <c r="F1804" s="85" t="s">
        <v>7691</v>
      </c>
      <c r="G1804" s="85" t="s">
        <v>216</v>
      </c>
      <c r="H1804" s="85"/>
    </row>
    <row r="1805" customFormat="false" ht="15" hidden="false" customHeight="false" outlineLevel="0" collapsed="false">
      <c r="A1805" s="85" t="n">
        <v>1804</v>
      </c>
      <c r="B1805" s="85" t="s">
        <v>11</v>
      </c>
      <c r="C1805" s="85" t="s">
        <v>7692</v>
      </c>
      <c r="D1805" s="85" t="s">
        <v>7693</v>
      </c>
      <c r="E1805" s="86" t="s">
        <v>7694</v>
      </c>
      <c r="F1805" s="85" t="s">
        <v>7695</v>
      </c>
      <c r="G1805" s="85" t="s">
        <v>216</v>
      </c>
      <c r="H1805" s="85"/>
    </row>
    <row r="1806" customFormat="false" ht="15" hidden="false" customHeight="false" outlineLevel="0" collapsed="false">
      <c r="A1806" s="85" t="n">
        <v>1805</v>
      </c>
      <c r="B1806" s="85" t="s">
        <v>11</v>
      </c>
      <c r="C1806" s="85" t="s">
        <v>7696</v>
      </c>
      <c r="D1806" s="85" t="s">
        <v>7697</v>
      </c>
      <c r="E1806" s="86" t="s">
        <v>7698</v>
      </c>
      <c r="F1806" s="85" t="s">
        <v>7699</v>
      </c>
      <c r="G1806" s="85" t="s">
        <v>216</v>
      </c>
      <c r="H1806" s="85"/>
    </row>
    <row r="1807" customFormat="false" ht="15" hidden="false" customHeight="false" outlineLevel="0" collapsed="false">
      <c r="A1807" s="85" t="n">
        <v>1806</v>
      </c>
      <c r="B1807" s="85" t="s">
        <v>11</v>
      </c>
      <c r="C1807" s="85" t="s">
        <v>7700</v>
      </c>
      <c r="D1807" s="85" t="s">
        <v>7701</v>
      </c>
      <c r="E1807" s="86" t="s">
        <v>7702</v>
      </c>
      <c r="F1807" s="85" t="s">
        <v>7703</v>
      </c>
      <c r="G1807" s="85" t="s">
        <v>216</v>
      </c>
      <c r="H1807" s="85"/>
    </row>
    <row r="1808" customFormat="false" ht="15" hidden="false" customHeight="false" outlineLevel="0" collapsed="false">
      <c r="A1808" s="87" t="n">
        <v>1807</v>
      </c>
      <c r="B1808" s="87" t="s">
        <v>13</v>
      </c>
      <c r="C1808" s="87" t="s">
        <v>1923</v>
      </c>
      <c r="D1808" s="87" t="s">
        <v>1924</v>
      </c>
      <c r="E1808" s="88" t="s">
        <v>1925</v>
      </c>
      <c r="F1808" s="87" t="s">
        <v>1926</v>
      </c>
      <c r="G1808" s="87" t="s">
        <v>221</v>
      </c>
      <c r="H1808" s="87" t="s">
        <v>7704</v>
      </c>
    </row>
    <row r="1809" customFormat="false" ht="15" hidden="false" customHeight="false" outlineLevel="0" collapsed="false">
      <c r="A1809" s="87" t="n">
        <v>1808</v>
      </c>
      <c r="B1809" s="87" t="s">
        <v>13</v>
      </c>
      <c r="C1809" s="87" t="s">
        <v>7705</v>
      </c>
      <c r="D1809" s="87" t="s">
        <v>7706</v>
      </c>
      <c r="E1809" s="88" t="s">
        <v>7707</v>
      </c>
      <c r="F1809" s="87" t="s">
        <v>7708</v>
      </c>
      <c r="G1809" s="87" t="s">
        <v>221</v>
      </c>
      <c r="H1809" s="87"/>
    </row>
    <row r="1810" customFormat="false" ht="15" hidden="false" customHeight="false" outlineLevel="0" collapsed="false">
      <c r="A1810" s="87" t="n">
        <v>1809</v>
      </c>
      <c r="B1810" s="87" t="s">
        <v>13</v>
      </c>
      <c r="C1810" s="87" t="s">
        <v>7709</v>
      </c>
      <c r="D1810" s="87" t="s">
        <v>7710</v>
      </c>
      <c r="E1810" s="88" t="s">
        <v>7711</v>
      </c>
      <c r="F1810" s="87" t="s">
        <v>7712</v>
      </c>
      <c r="G1810" s="87" t="s">
        <v>221</v>
      </c>
      <c r="H1810" s="87"/>
    </row>
    <row r="1811" customFormat="false" ht="15" hidden="false" customHeight="false" outlineLevel="0" collapsed="false">
      <c r="A1811" s="87" t="n">
        <v>1810</v>
      </c>
      <c r="B1811" s="87" t="s">
        <v>13</v>
      </c>
      <c r="C1811" s="87" t="s">
        <v>7713</v>
      </c>
      <c r="D1811" s="87" t="s">
        <v>7714</v>
      </c>
      <c r="E1811" s="88" t="s">
        <v>7715</v>
      </c>
      <c r="F1811" s="87" t="s">
        <v>7716</v>
      </c>
      <c r="G1811" s="87" t="s">
        <v>221</v>
      </c>
      <c r="H1811" s="87"/>
    </row>
    <row r="1812" customFormat="false" ht="15" hidden="false" customHeight="false" outlineLevel="0" collapsed="false">
      <c r="A1812" s="87" t="n">
        <v>1811</v>
      </c>
      <c r="B1812" s="87" t="s">
        <v>13</v>
      </c>
      <c r="C1812" s="87" t="s">
        <v>7717</v>
      </c>
      <c r="D1812" s="87" t="s">
        <v>7718</v>
      </c>
      <c r="E1812" s="88" t="s">
        <v>7719</v>
      </c>
      <c r="F1812" s="87" t="s">
        <v>7720</v>
      </c>
      <c r="G1812" s="87" t="s">
        <v>221</v>
      </c>
      <c r="H1812" s="87" t="s">
        <v>7721</v>
      </c>
    </row>
    <row r="1813" customFormat="false" ht="15" hidden="false" customHeight="false" outlineLevel="0" collapsed="false">
      <c r="A1813" s="87" t="n">
        <v>1812</v>
      </c>
      <c r="B1813" s="87" t="s">
        <v>13</v>
      </c>
      <c r="C1813" s="87" t="s">
        <v>1935</v>
      </c>
      <c r="D1813" s="87" t="s">
        <v>1936</v>
      </c>
      <c r="E1813" s="88" t="s">
        <v>1937</v>
      </c>
      <c r="F1813" s="87" t="s">
        <v>1938</v>
      </c>
      <c r="G1813" s="87" t="s">
        <v>221</v>
      </c>
      <c r="H1813" s="87"/>
    </row>
    <row r="1814" customFormat="false" ht="15" hidden="false" customHeight="false" outlineLevel="0" collapsed="false">
      <c r="A1814" s="87" t="n">
        <v>1813</v>
      </c>
      <c r="B1814" s="87" t="s">
        <v>13</v>
      </c>
      <c r="C1814" s="87" t="s">
        <v>7722</v>
      </c>
      <c r="D1814" s="87" t="s">
        <v>7723</v>
      </c>
      <c r="E1814" s="88" t="s">
        <v>7724</v>
      </c>
      <c r="F1814" s="87" t="s">
        <v>7725</v>
      </c>
      <c r="G1814" s="87" t="s">
        <v>221</v>
      </c>
      <c r="H1814" s="87"/>
    </row>
    <row r="1815" customFormat="false" ht="15" hidden="false" customHeight="false" outlineLevel="0" collapsed="false">
      <c r="A1815" s="87" t="n">
        <v>1814</v>
      </c>
      <c r="B1815" s="87" t="s">
        <v>13</v>
      </c>
      <c r="C1815" s="87" t="s">
        <v>7726</v>
      </c>
      <c r="D1815" s="87" t="s">
        <v>7727</v>
      </c>
      <c r="E1815" s="88" t="s">
        <v>7728</v>
      </c>
      <c r="F1815" s="87" t="s">
        <v>7729</v>
      </c>
      <c r="G1815" s="87" t="s">
        <v>221</v>
      </c>
      <c r="H1815" s="87" t="s">
        <v>845</v>
      </c>
    </row>
    <row r="1816" customFormat="false" ht="15" hidden="false" customHeight="false" outlineLevel="0" collapsed="false">
      <c r="A1816" s="87" t="n">
        <v>1815</v>
      </c>
      <c r="B1816" s="87" t="s">
        <v>13</v>
      </c>
      <c r="C1816" s="87" t="s">
        <v>7730</v>
      </c>
      <c r="D1816" s="87" t="s">
        <v>1948</v>
      </c>
      <c r="E1816" s="88" t="s">
        <v>1949</v>
      </c>
      <c r="F1816" s="87" t="s">
        <v>1950</v>
      </c>
      <c r="G1816" s="87" t="s">
        <v>221</v>
      </c>
      <c r="H1816" s="87"/>
    </row>
    <row r="1817" customFormat="false" ht="15" hidden="false" customHeight="false" outlineLevel="0" collapsed="false">
      <c r="A1817" s="87" t="n">
        <v>1816</v>
      </c>
      <c r="B1817" s="87" t="s">
        <v>13</v>
      </c>
      <c r="C1817" s="87" t="s">
        <v>7731</v>
      </c>
      <c r="D1817" s="87" t="s">
        <v>7732</v>
      </c>
      <c r="E1817" s="88" t="s">
        <v>7733</v>
      </c>
      <c r="F1817" s="87" t="s">
        <v>7734</v>
      </c>
      <c r="G1817" s="87" t="s">
        <v>221</v>
      </c>
      <c r="H1817" s="87"/>
    </row>
    <row r="1818" customFormat="false" ht="15" hidden="false" customHeight="false" outlineLevel="0" collapsed="false">
      <c r="A1818" s="87" t="n">
        <v>1817</v>
      </c>
      <c r="B1818" s="87" t="s">
        <v>13</v>
      </c>
      <c r="C1818" s="87" t="s">
        <v>7735</v>
      </c>
      <c r="D1818" s="87" t="s">
        <v>7736</v>
      </c>
      <c r="E1818" s="88" t="s">
        <v>7737</v>
      </c>
      <c r="F1818" s="87" t="s">
        <v>7738</v>
      </c>
      <c r="G1818" s="87" t="s">
        <v>221</v>
      </c>
      <c r="H1818" s="87" t="s">
        <v>7739</v>
      </c>
    </row>
    <row r="1819" customFormat="false" ht="15" hidden="false" customHeight="false" outlineLevel="0" collapsed="false">
      <c r="A1819" s="87" t="n">
        <v>1818</v>
      </c>
      <c r="B1819" s="87" t="s">
        <v>13</v>
      </c>
      <c r="C1819" s="87" t="s">
        <v>7740</v>
      </c>
      <c r="D1819" s="87" t="s">
        <v>7741</v>
      </c>
      <c r="E1819" s="88" t="s">
        <v>7742</v>
      </c>
      <c r="F1819" s="87" t="s">
        <v>7743</v>
      </c>
      <c r="G1819" s="87" t="s">
        <v>221</v>
      </c>
      <c r="H1819" s="87" t="s">
        <v>7744</v>
      </c>
    </row>
    <row r="1820" customFormat="false" ht="15" hidden="false" customHeight="false" outlineLevel="0" collapsed="false">
      <c r="A1820" s="87" t="n">
        <v>1819</v>
      </c>
      <c r="B1820" s="87" t="s">
        <v>13</v>
      </c>
      <c r="C1820" s="87" t="s">
        <v>7745</v>
      </c>
      <c r="D1820" s="87" t="s">
        <v>7746</v>
      </c>
      <c r="E1820" s="88" t="s">
        <v>7747</v>
      </c>
      <c r="F1820" s="87" t="s">
        <v>7748</v>
      </c>
      <c r="G1820" s="87" t="s">
        <v>221</v>
      </c>
      <c r="H1820" s="87"/>
    </row>
    <row r="1821" customFormat="false" ht="15" hidden="false" customHeight="false" outlineLevel="0" collapsed="false">
      <c r="A1821" s="87" t="n">
        <v>1820</v>
      </c>
      <c r="B1821" s="87" t="s">
        <v>13</v>
      </c>
      <c r="C1821" s="87" t="s">
        <v>7749</v>
      </c>
      <c r="D1821" s="87" t="s">
        <v>7750</v>
      </c>
      <c r="E1821" s="88" t="s">
        <v>7751</v>
      </c>
      <c r="F1821" s="87" t="s">
        <v>7752</v>
      </c>
      <c r="G1821" s="87" t="s">
        <v>221</v>
      </c>
      <c r="H1821" s="87"/>
    </row>
    <row r="1822" customFormat="false" ht="15" hidden="false" customHeight="false" outlineLevel="0" collapsed="false">
      <c r="A1822" s="87" t="n">
        <v>1821</v>
      </c>
      <c r="B1822" s="87" t="s">
        <v>13</v>
      </c>
      <c r="C1822" s="87" t="s">
        <v>7753</v>
      </c>
      <c r="D1822" s="87" t="s">
        <v>7754</v>
      </c>
      <c r="E1822" s="88" t="s">
        <v>7755</v>
      </c>
      <c r="F1822" s="87" t="s">
        <v>7756</v>
      </c>
      <c r="G1822" s="87" t="s">
        <v>221</v>
      </c>
      <c r="H1822" s="87"/>
    </row>
    <row r="1823" customFormat="false" ht="15" hidden="false" customHeight="false" outlineLevel="0" collapsed="false">
      <c r="A1823" s="87" t="n">
        <v>1822</v>
      </c>
      <c r="B1823" s="87" t="s">
        <v>13</v>
      </c>
      <c r="C1823" s="87" t="s">
        <v>1959</v>
      </c>
      <c r="D1823" s="87" t="s">
        <v>7757</v>
      </c>
      <c r="E1823" s="88" t="s">
        <v>7758</v>
      </c>
      <c r="F1823" s="87" t="s">
        <v>7759</v>
      </c>
      <c r="G1823" s="87" t="s">
        <v>221</v>
      </c>
      <c r="H1823" s="87" t="s">
        <v>7760</v>
      </c>
    </row>
    <row r="1824" customFormat="false" ht="15" hidden="false" customHeight="false" outlineLevel="0" collapsed="false">
      <c r="A1824" s="87" t="n">
        <v>1823</v>
      </c>
      <c r="B1824" s="87" t="s">
        <v>13</v>
      </c>
      <c r="C1824" s="87" t="s">
        <v>7761</v>
      </c>
      <c r="D1824" s="87" t="s">
        <v>7762</v>
      </c>
      <c r="E1824" s="88" t="s">
        <v>7763</v>
      </c>
      <c r="F1824" s="87" t="s">
        <v>7764</v>
      </c>
      <c r="G1824" s="87" t="s">
        <v>221</v>
      </c>
      <c r="H1824" s="87" t="s">
        <v>7765</v>
      </c>
    </row>
    <row r="1825" customFormat="false" ht="15" hidden="false" customHeight="false" outlineLevel="0" collapsed="false">
      <c r="A1825" s="87" t="n">
        <v>1824</v>
      </c>
      <c r="B1825" s="87" t="s">
        <v>13</v>
      </c>
      <c r="C1825" s="87" t="s">
        <v>7766</v>
      </c>
      <c r="D1825" s="87" t="s">
        <v>7767</v>
      </c>
      <c r="E1825" s="88" t="s">
        <v>7768</v>
      </c>
      <c r="F1825" s="87" t="s">
        <v>7769</v>
      </c>
      <c r="G1825" s="87" t="s">
        <v>221</v>
      </c>
      <c r="H1825" s="87"/>
    </row>
    <row r="1826" customFormat="false" ht="15" hidden="false" customHeight="false" outlineLevel="0" collapsed="false">
      <c r="A1826" s="87" t="n">
        <v>1825</v>
      </c>
      <c r="B1826" s="87" t="s">
        <v>13</v>
      </c>
      <c r="C1826" s="87" t="s">
        <v>1963</v>
      </c>
      <c r="D1826" s="87" t="s">
        <v>7770</v>
      </c>
      <c r="E1826" s="88" t="s">
        <v>1965</v>
      </c>
      <c r="F1826" s="87" t="s">
        <v>1966</v>
      </c>
      <c r="G1826" s="87" t="s">
        <v>221</v>
      </c>
      <c r="H1826" s="87" t="s">
        <v>7771</v>
      </c>
    </row>
    <row r="1827" customFormat="false" ht="15" hidden="false" customHeight="false" outlineLevel="0" collapsed="false">
      <c r="A1827" s="87" t="n">
        <v>1826</v>
      </c>
      <c r="B1827" s="87" t="s">
        <v>13</v>
      </c>
      <c r="C1827" s="87" t="s">
        <v>7772</v>
      </c>
      <c r="D1827" s="87" t="s">
        <v>7773</v>
      </c>
      <c r="E1827" s="88" t="s">
        <v>7774</v>
      </c>
      <c r="F1827" s="87" t="s">
        <v>7775</v>
      </c>
      <c r="G1827" s="87" t="s">
        <v>221</v>
      </c>
      <c r="H1827" s="87" t="s">
        <v>7776</v>
      </c>
    </row>
    <row r="1828" customFormat="false" ht="15" hidden="false" customHeight="false" outlineLevel="0" collapsed="false">
      <c r="A1828" s="87" t="n">
        <v>1827</v>
      </c>
      <c r="B1828" s="87" t="s">
        <v>13</v>
      </c>
      <c r="C1828" s="87" t="s">
        <v>7777</v>
      </c>
      <c r="D1828" s="87" t="s">
        <v>7778</v>
      </c>
      <c r="E1828" s="88" t="s">
        <v>7779</v>
      </c>
      <c r="F1828" s="87" t="s">
        <v>7780</v>
      </c>
      <c r="G1828" s="87" t="s">
        <v>223</v>
      </c>
      <c r="H1828" s="87"/>
    </row>
    <row r="1829" customFormat="false" ht="15" hidden="false" customHeight="false" outlineLevel="0" collapsed="false">
      <c r="A1829" s="87" t="n">
        <v>1828</v>
      </c>
      <c r="B1829" s="87" t="s">
        <v>13</v>
      </c>
      <c r="C1829" s="87" t="s">
        <v>7781</v>
      </c>
      <c r="D1829" s="87" t="s">
        <v>7782</v>
      </c>
      <c r="E1829" s="88" t="s">
        <v>7783</v>
      </c>
      <c r="F1829" s="87" t="s">
        <v>7784</v>
      </c>
      <c r="G1829" s="87" t="s">
        <v>223</v>
      </c>
      <c r="H1829" s="87"/>
    </row>
    <row r="1830" customFormat="false" ht="15" hidden="false" customHeight="false" outlineLevel="0" collapsed="false">
      <c r="A1830" s="87" t="n">
        <v>1829</v>
      </c>
      <c r="B1830" s="87" t="s">
        <v>13</v>
      </c>
      <c r="C1830" s="87" t="s">
        <v>7785</v>
      </c>
      <c r="D1830" s="87" t="s">
        <v>7786</v>
      </c>
      <c r="E1830" s="88" t="s">
        <v>7787</v>
      </c>
      <c r="F1830" s="87" t="s">
        <v>7788</v>
      </c>
      <c r="G1830" s="87" t="s">
        <v>223</v>
      </c>
      <c r="H1830" s="87"/>
    </row>
    <row r="1831" customFormat="false" ht="15" hidden="false" customHeight="false" outlineLevel="0" collapsed="false">
      <c r="A1831" s="87" t="n">
        <v>1830</v>
      </c>
      <c r="B1831" s="87" t="s">
        <v>13</v>
      </c>
      <c r="C1831" s="87" t="s">
        <v>1864</v>
      </c>
      <c r="D1831" s="87" t="s">
        <v>7789</v>
      </c>
      <c r="E1831" s="88" t="s">
        <v>7790</v>
      </c>
      <c r="F1831" s="87" t="s">
        <v>7791</v>
      </c>
      <c r="G1831" s="87" t="s">
        <v>223</v>
      </c>
      <c r="H1831" s="87"/>
    </row>
    <row r="1832" customFormat="false" ht="15" hidden="false" customHeight="false" outlineLevel="0" collapsed="false">
      <c r="A1832" s="87" t="n">
        <v>1831</v>
      </c>
      <c r="B1832" s="87" t="s">
        <v>13</v>
      </c>
      <c r="C1832" s="87" t="s">
        <v>7792</v>
      </c>
      <c r="D1832" s="87" t="s">
        <v>7793</v>
      </c>
      <c r="E1832" s="88" t="s">
        <v>7794</v>
      </c>
      <c r="F1832" s="87" t="s">
        <v>7795</v>
      </c>
      <c r="G1832" s="87" t="s">
        <v>223</v>
      </c>
      <c r="H1832" s="87"/>
    </row>
    <row r="1833" customFormat="false" ht="15" hidden="false" customHeight="false" outlineLevel="0" collapsed="false">
      <c r="A1833" s="87" t="n">
        <v>1832</v>
      </c>
      <c r="B1833" s="87" t="s">
        <v>13</v>
      </c>
      <c r="C1833" s="87" t="s">
        <v>7796</v>
      </c>
      <c r="D1833" s="87" t="s">
        <v>7797</v>
      </c>
      <c r="E1833" s="88" t="s">
        <v>7798</v>
      </c>
      <c r="F1833" s="87" t="s">
        <v>7799</v>
      </c>
      <c r="G1833" s="87" t="s">
        <v>223</v>
      </c>
      <c r="H1833" s="87"/>
    </row>
    <row r="1834" customFormat="false" ht="15" hidden="false" customHeight="false" outlineLevel="0" collapsed="false">
      <c r="A1834" s="87" t="n">
        <v>1833</v>
      </c>
      <c r="B1834" s="87" t="s">
        <v>13</v>
      </c>
      <c r="C1834" s="87" t="s">
        <v>7800</v>
      </c>
      <c r="D1834" s="87" t="s">
        <v>7801</v>
      </c>
      <c r="E1834" s="88" t="s">
        <v>7802</v>
      </c>
      <c r="F1834" s="87" t="s">
        <v>7803</v>
      </c>
      <c r="G1834" s="87" t="s">
        <v>223</v>
      </c>
      <c r="H1834" s="87"/>
    </row>
    <row r="1835" customFormat="false" ht="15" hidden="false" customHeight="false" outlineLevel="0" collapsed="false">
      <c r="A1835" s="87" t="n">
        <v>1834</v>
      </c>
      <c r="B1835" s="87" t="s">
        <v>13</v>
      </c>
      <c r="C1835" s="87" t="s">
        <v>7804</v>
      </c>
      <c r="D1835" s="87" t="s">
        <v>7805</v>
      </c>
      <c r="E1835" s="88" t="s">
        <v>7806</v>
      </c>
      <c r="F1835" s="87" t="s">
        <v>7807</v>
      </c>
      <c r="G1835" s="87" t="s">
        <v>223</v>
      </c>
      <c r="H1835" s="87"/>
    </row>
    <row r="1836" customFormat="false" ht="15" hidden="false" customHeight="false" outlineLevel="0" collapsed="false">
      <c r="A1836" s="87" t="n">
        <v>1835</v>
      </c>
      <c r="B1836" s="87" t="s">
        <v>13</v>
      </c>
      <c r="C1836" s="87" t="s">
        <v>7808</v>
      </c>
      <c r="D1836" s="87" t="s">
        <v>7809</v>
      </c>
      <c r="E1836" s="88" t="s">
        <v>7810</v>
      </c>
      <c r="F1836" s="87" t="s">
        <v>7811</v>
      </c>
      <c r="G1836" s="87" t="s">
        <v>223</v>
      </c>
      <c r="H1836" s="87"/>
    </row>
    <row r="1837" customFormat="false" ht="15" hidden="false" customHeight="false" outlineLevel="0" collapsed="false">
      <c r="A1837" s="87" t="n">
        <v>1836</v>
      </c>
      <c r="B1837" s="87" t="s">
        <v>13</v>
      </c>
      <c r="C1837" s="87" t="s">
        <v>7812</v>
      </c>
      <c r="D1837" s="87" t="s">
        <v>7813</v>
      </c>
      <c r="E1837" s="88" t="s">
        <v>7814</v>
      </c>
      <c r="F1837" s="87" t="s">
        <v>7815</v>
      </c>
      <c r="G1837" s="87" t="s">
        <v>223</v>
      </c>
      <c r="H1837" s="87"/>
    </row>
    <row r="1838" customFormat="false" ht="15" hidden="false" customHeight="false" outlineLevel="0" collapsed="false">
      <c r="A1838" s="87" t="n">
        <v>1837</v>
      </c>
      <c r="B1838" s="87" t="s">
        <v>13</v>
      </c>
      <c r="C1838" s="87" t="s">
        <v>7816</v>
      </c>
      <c r="D1838" s="87" t="s">
        <v>7817</v>
      </c>
      <c r="E1838" s="88" t="s">
        <v>7818</v>
      </c>
      <c r="F1838" s="87" t="s">
        <v>7819</v>
      </c>
      <c r="G1838" s="87" t="s">
        <v>223</v>
      </c>
      <c r="H1838" s="87"/>
    </row>
    <row r="1839" customFormat="false" ht="15" hidden="false" customHeight="false" outlineLevel="0" collapsed="false">
      <c r="A1839" s="87" t="n">
        <v>1838</v>
      </c>
      <c r="B1839" s="87" t="s">
        <v>13</v>
      </c>
      <c r="C1839" s="87" t="s">
        <v>7820</v>
      </c>
      <c r="D1839" s="87" t="s">
        <v>7821</v>
      </c>
      <c r="E1839" s="88" t="s">
        <v>7822</v>
      </c>
      <c r="F1839" s="87" t="s">
        <v>7823</v>
      </c>
      <c r="G1839" s="87" t="s">
        <v>223</v>
      </c>
      <c r="H1839" s="87"/>
    </row>
    <row r="1840" customFormat="false" ht="15" hidden="false" customHeight="false" outlineLevel="0" collapsed="false">
      <c r="A1840" s="87" t="n">
        <v>1839</v>
      </c>
      <c r="B1840" s="87" t="s">
        <v>13</v>
      </c>
      <c r="C1840" s="87" t="s">
        <v>7824</v>
      </c>
      <c r="D1840" s="87" t="s">
        <v>7825</v>
      </c>
      <c r="E1840" s="88" t="s">
        <v>7826</v>
      </c>
      <c r="F1840" s="87" t="s">
        <v>7827</v>
      </c>
      <c r="G1840" s="87" t="s">
        <v>223</v>
      </c>
      <c r="H1840" s="87"/>
    </row>
    <row r="1841" customFormat="false" ht="15" hidden="false" customHeight="false" outlineLevel="0" collapsed="false">
      <c r="A1841" s="87" t="n">
        <v>1840</v>
      </c>
      <c r="B1841" s="87" t="s">
        <v>13</v>
      </c>
      <c r="C1841" s="87" t="s">
        <v>7828</v>
      </c>
      <c r="D1841" s="87" t="s">
        <v>7829</v>
      </c>
      <c r="E1841" s="88" t="s">
        <v>7830</v>
      </c>
      <c r="F1841" s="87" t="s">
        <v>7831</v>
      </c>
      <c r="G1841" s="87" t="s">
        <v>223</v>
      </c>
      <c r="H1841" s="87"/>
    </row>
    <row r="1842" customFormat="false" ht="15" hidden="false" customHeight="false" outlineLevel="0" collapsed="false">
      <c r="A1842" s="87" t="n">
        <v>1841</v>
      </c>
      <c r="B1842" s="87" t="s">
        <v>13</v>
      </c>
      <c r="C1842" s="87" t="s">
        <v>7832</v>
      </c>
      <c r="D1842" s="87" t="s">
        <v>7833</v>
      </c>
      <c r="E1842" s="88" t="s">
        <v>7834</v>
      </c>
      <c r="F1842" s="87" t="s">
        <v>7835</v>
      </c>
      <c r="G1842" s="87" t="s">
        <v>223</v>
      </c>
      <c r="H1842" s="87" t="s">
        <v>7836</v>
      </c>
    </row>
    <row r="1843" customFormat="false" ht="15" hidden="false" customHeight="false" outlineLevel="0" collapsed="false">
      <c r="A1843" s="87" t="n">
        <v>1842</v>
      </c>
      <c r="B1843" s="87" t="s">
        <v>13</v>
      </c>
      <c r="C1843" s="87" t="s">
        <v>7837</v>
      </c>
      <c r="D1843" s="87" t="s">
        <v>7838</v>
      </c>
      <c r="E1843" s="88" t="s">
        <v>7839</v>
      </c>
      <c r="F1843" s="87" t="s">
        <v>7840</v>
      </c>
      <c r="G1843" s="87" t="s">
        <v>225</v>
      </c>
      <c r="H1843" s="87" t="s">
        <v>7841</v>
      </c>
    </row>
    <row r="1844" customFormat="false" ht="15" hidden="false" customHeight="false" outlineLevel="0" collapsed="false">
      <c r="A1844" s="87" t="n">
        <v>1843</v>
      </c>
      <c r="B1844" s="87" t="s">
        <v>13</v>
      </c>
      <c r="C1844" s="87" t="s">
        <v>7842</v>
      </c>
      <c r="D1844" s="87" t="s">
        <v>7843</v>
      </c>
      <c r="E1844" s="87" t="s">
        <v>7844</v>
      </c>
      <c r="F1844" s="87" t="s">
        <v>7845</v>
      </c>
      <c r="G1844" s="87" t="s">
        <v>225</v>
      </c>
      <c r="H1844" s="87" t="s">
        <v>7846</v>
      </c>
    </row>
    <row r="1845" customFormat="false" ht="15" hidden="false" customHeight="false" outlineLevel="0" collapsed="false">
      <c r="A1845" s="87" t="n">
        <v>1844</v>
      </c>
      <c r="B1845" s="87" t="s">
        <v>13</v>
      </c>
      <c r="C1845" s="87" t="s">
        <v>7847</v>
      </c>
      <c r="D1845" s="87" t="s">
        <v>7848</v>
      </c>
      <c r="E1845" s="88" t="s">
        <v>7849</v>
      </c>
      <c r="F1845" s="87" t="s">
        <v>7850</v>
      </c>
      <c r="G1845" s="87" t="s">
        <v>225</v>
      </c>
      <c r="H1845" s="87" t="s">
        <v>7851</v>
      </c>
    </row>
    <row r="1846" customFormat="false" ht="15" hidden="false" customHeight="false" outlineLevel="0" collapsed="false">
      <c r="A1846" s="87" t="n">
        <v>1845</v>
      </c>
      <c r="B1846" s="87" t="s">
        <v>13</v>
      </c>
      <c r="C1846" s="87" t="s">
        <v>7852</v>
      </c>
      <c r="D1846" s="87" t="s">
        <v>7853</v>
      </c>
      <c r="E1846" s="88" t="s">
        <v>7854</v>
      </c>
      <c r="F1846" s="87" t="s">
        <v>7855</v>
      </c>
      <c r="G1846" s="87" t="s">
        <v>225</v>
      </c>
      <c r="H1846" s="87"/>
    </row>
    <row r="1847" customFormat="false" ht="15" hidden="false" customHeight="false" outlineLevel="0" collapsed="false">
      <c r="A1847" s="87" t="n">
        <v>1846</v>
      </c>
      <c r="B1847" s="87" t="s">
        <v>13</v>
      </c>
      <c r="C1847" s="87" t="s">
        <v>7856</v>
      </c>
      <c r="D1847" s="87" t="s">
        <v>7857</v>
      </c>
      <c r="E1847" s="88" t="s">
        <v>7858</v>
      </c>
      <c r="F1847" s="87" t="s">
        <v>7859</v>
      </c>
      <c r="G1847" s="87" t="s">
        <v>225</v>
      </c>
      <c r="H1847" s="87"/>
    </row>
    <row r="1848" customFormat="false" ht="15" hidden="false" customHeight="false" outlineLevel="0" collapsed="false">
      <c r="A1848" s="87" t="n">
        <v>1847</v>
      </c>
      <c r="B1848" s="87" t="s">
        <v>13</v>
      </c>
      <c r="C1848" s="87" t="s">
        <v>7860</v>
      </c>
      <c r="D1848" s="87" t="s">
        <v>7861</v>
      </c>
      <c r="E1848" s="88" t="s">
        <v>7862</v>
      </c>
      <c r="F1848" s="87" t="s">
        <v>7863</v>
      </c>
      <c r="G1848" s="87" t="s">
        <v>225</v>
      </c>
      <c r="H1848" s="87"/>
    </row>
    <row r="1849" customFormat="false" ht="15" hidden="false" customHeight="false" outlineLevel="0" collapsed="false">
      <c r="A1849" s="87" t="n">
        <v>1848</v>
      </c>
      <c r="B1849" s="87" t="s">
        <v>13</v>
      </c>
      <c r="C1849" s="87" t="s">
        <v>7864</v>
      </c>
      <c r="D1849" s="87" t="s">
        <v>7865</v>
      </c>
      <c r="E1849" s="88" t="s">
        <v>7866</v>
      </c>
      <c r="F1849" s="87" t="s">
        <v>7867</v>
      </c>
      <c r="G1849" s="87" t="s">
        <v>225</v>
      </c>
      <c r="H1849" s="87"/>
    </row>
    <row r="1850" customFormat="false" ht="15" hidden="false" customHeight="false" outlineLevel="0" collapsed="false">
      <c r="A1850" s="87" t="n">
        <v>1849</v>
      </c>
      <c r="B1850" s="87" t="s">
        <v>13</v>
      </c>
      <c r="C1850" s="87" t="s">
        <v>7868</v>
      </c>
      <c r="D1850" s="87" t="s">
        <v>7869</v>
      </c>
      <c r="E1850" s="88" t="s">
        <v>7870</v>
      </c>
      <c r="F1850" s="87" t="s">
        <v>7871</v>
      </c>
      <c r="G1850" s="87" t="s">
        <v>225</v>
      </c>
      <c r="H1850" s="87"/>
    </row>
    <row r="1851" customFormat="false" ht="15" hidden="false" customHeight="false" outlineLevel="0" collapsed="false">
      <c r="A1851" s="87" t="n">
        <v>1850</v>
      </c>
      <c r="B1851" s="87" t="s">
        <v>13</v>
      </c>
      <c r="C1851" s="87" t="s">
        <v>7872</v>
      </c>
      <c r="D1851" s="87" t="s">
        <v>7873</v>
      </c>
      <c r="E1851" s="88" t="s">
        <v>7874</v>
      </c>
      <c r="F1851" s="87" t="s">
        <v>3623</v>
      </c>
      <c r="G1851" s="87" t="s">
        <v>225</v>
      </c>
      <c r="H1851" s="87"/>
    </row>
    <row r="1852" customFormat="false" ht="15" hidden="false" customHeight="false" outlineLevel="0" collapsed="false">
      <c r="A1852" s="87" t="n">
        <v>1851</v>
      </c>
      <c r="B1852" s="87" t="s">
        <v>13</v>
      </c>
      <c r="C1852" s="87" t="s">
        <v>7875</v>
      </c>
      <c r="D1852" s="87" t="s">
        <v>7876</v>
      </c>
      <c r="E1852" s="88" t="s">
        <v>7877</v>
      </c>
      <c r="F1852" s="87" t="s">
        <v>7878</v>
      </c>
      <c r="G1852" s="87" t="s">
        <v>225</v>
      </c>
      <c r="H1852" s="87" t="s">
        <v>7879</v>
      </c>
    </row>
    <row r="1853" customFormat="false" ht="15" hidden="false" customHeight="false" outlineLevel="0" collapsed="false">
      <c r="A1853" s="87" t="n">
        <v>1852</v>
      </c>
      <c r="B1853" s="87" t="s">
        <v>13</v>
      </c>
      <c r="C1853" s="87" t="s">
        <v>7880</v>
      </c>
      <c r="D1853" s="87" t="s">
        <v>7881</v>
      </c>
      <c r="E1853" s="88" t="s">
        <v>7882</v>
      </c>
      <c r="F1853" s="87" t="s">
        <v>7883</v>
      </c>
      <c r="G1853" s="87" t="s">
        <v>225</v>
      </c>
      <c r="H1853" s="87"/>
    </row>
    <row r="1854" customFormat="false" ht="15" hidden="false" customHeight="false" outlineLevel="0" collapsed="false">
      <c r="A1854" s="87" t="n">
        <v>1853</v>
      </c>
      <c r="B1854" s="87" t="s">
        <v>13</v>
      </c>
      <c r="C1854" s="87" t="s">
        <v>7884</v>
      </c>
      <c r="D1854" s="87" t="s">
        <v>7885</v>
      </c>
      <c r="E1854" s="88" t="s">
        <v>7886</v>
      </c>
      <c r="F1854" s="87" t="s">
        <v>7887</v>
      </c>
      <c r="G1854" s="87" t="s">
        <v>225</v>
      </c>
      <c r="H1854" s="87"/>
    </row>
    <row r="1855" customFormat="false" ht="15" hidden="false" customHeight="false" outlineLevel="0" collapsed="false">
      <c r="A1855" s="87" t="n">
        <v>1854</v>
      </c>
      <c r="B1855" s="87" t="s">
        <v>13</v>
      </c>
      <c r="C1855" s="87" t="s">
        <v>7888</v>
      </c>
      <c r="D1855" s="87" t="s">
        <v>7889</v>
      </c>
      <c r="E1855" s="88" t="s">
        <v>7890</v>
      </c>
      <c r="F1855" s="87" t="s">
        <v>7891</v>
      </c>
      <c r="G1855" s="87" t="s">
        <v>227</v>
      </c>
      <c r="H1855" s="87"/>
    </row>
    <row r="1856" customFormat="false" ht="15" hidden="false" customHeight="false" outlineLevel="0" collapsed="false">
      <c r="A1856" s="87" t="n">
        <v>1855</v>
      </c>
      <c r="B1856" s="87" t="s">
        <v>13</v>
      </c>
      <c r="C1856" s="87" t="s">
        <v>7892</v>
      </c>
      <c r="D1856" s="87" t="s">
        <v>7893</v>
      </c>
      <c r="E1856" s="87" t="s">
        <v>7894</v>
      </c>
      <c r="F1856" s="87" t="s">
        <v>7895</v>
      </c>
      <c r="G1856" s="87" t="s">
        <v>227</v>
      </c>
      <c r="H1856" s="87"/>
    </row>
    <row r="1857" customFormat="false" ht="15" hidden="false" customHeight="false" outlineLevel="0" collapsed="false">
      <c r="A1857" s="87" t="n">
        <v>1856</v>
      </c>
      <c r="B1857" s="87" t="s">
        <v>13</v>
      </c>
      <c r="C1857" s="87" t="s">
        <v>1852</v>
      </c>
      <c r="D1857" s="87" t="s">
        <v>1853</v>
      </c>
      <c r="E1857" s="88" t="s">
        <v>1854</v>
      </c>
      <c r="F1857" s="87" t="s">
        <v>1855</v>
      </c>
      <c r="G1857" s="87" t="s">
        <v>227</v>
      </c>
      <c r="H1857" s="87" t="s">
        <v>845</v>
      </c>
    </row>
    <row r="1858" customFormat="false" ht="15" hidden="false" customHeight="false" outlineLevel="0" collapsed="false">
      <c r="A1858" s="87" t="n">
        <v>1857</v>
      </c>
      <c r="B1858" s="87" t="s">
        <v>13</v>
      </c>
      <c r="C1858" s="87" t="s">
        <v>7896</v>
      </c>
      <c r="D1858" s="87" t="s">
        <v>7897</v>
      </c>
      <c r="E1858" s="88" t="s">
        <v>7898</v>
      </c>
      <c r="F1858" s="87" t="s">
        <v>7899</v>
      </c>
      <c r="G1858" s="87" t="s">
        <v>227</v>
      </c>
      <c r="H1858" s="87"/>
    </row>
    <row r="1859" customFormat="false" ht="15" hidden="false" customHeight="false" outlineLevel="0" collapsed="false">
      <c r="A1859" s="87" t="n">
        <v>1858</v>
      </c>
      <c r="B1859" s="87" t="s">
        <v>13</v>
      </c>
      <c r="C1859" s="87" t="s">
        <v>7900</v>
      </c>
      <c r="D1859" s="87" t="s">
        <v>7901</v>
      </c>
      <c r="E1859" s="88" t="s">
        <v>7902</v>
      </c>
      <c r="F1859" s="87" t="s">
        <v>7903</v>
      </c>
      <c r="G1859" s="87" t="s">
        <v>227</v>
      </c>
      <c r="H1859" s="87"/>
    </row>
    <row r="1860" customFormat="false" ht="15" hidden="false" customHeight="false" outlineLevel="0" collapsed="false">
      <c r="A1860" s="87" t="n">
        <v>1859</v>
      </c>
      <c r="B1860" s="87" t="s">
        <v>13</v>
      </c>
      <c r="C1860" s="87" t="s">
        <v>7904</v>
      </c>
      <c r="D1860" s="87" t="s">
        <v>7905</v>
      </c>
      <c r="E1860" s="88" t="s">
        <v>2965</v>
      </c>
      <c r="F1860" s="87" t="s">
        <v>2966</v>
      </c>
      <c r="G1860" s="87" t="s">
        <v>227</v>
      </c>
      <c r="H1860" s="87"/>
    </row>
    <row r="1861" customFormat="false" ht="15" hidden="false" customHeight="false" outlineLevel="0" collapsed="false">
      <c r="A1861" s="87" t="n">
        <v>1860</v>
      </c>
      <c r="B1861" s="87" t="s">
        <v>13</v>
      </c>
      <c r="C1861" s="87" t="s">
        <v>7906</v>
      </c>
      <c r="D1861" s="87" t="s">
        <v>7907</v>
      </c>
      <c r="E1861" s="88" t="s">
        <v>7908</v>
      </c>
      <c r="F1861" s="87" t="s">
        <v>7909</v>
      </c>
      <c r="G1861" s="87" t="s">
        <v>227</v>
      </c>
      <c r="H1861" s="87"/>
    </row>
    <row r="1862" customFormat="false" ht="15" hidden="false" customHeight="false" outlineLevel="0" collapsed="false">
      <c r="A1862" s="87" t="n">
        <v>1861</v>
      </c>
      <c r="B1862" s="87" t="s">
        <v>13</v>
      </c>
      <c r="C1862" s="87" t="s">
        <v>7910</v>
      </c>
      <c r="D1862" s="87" t="s">
        <v>7911</v>
      </c>
      <c r="E1862" s="88" t="s">
        <v>7912</v>
      </c>
      <c r="F1862" s="87" t="s">
        <v>7913</v>
      </c>
      <c r="G1862" s="87" t="s">
        <v>227</v>
      </c>
      <c r="H1862" s="87"/>
    </row>
    <row r="1863" customFormat="false" ht="15" hidden="false" customHeight="false" outlineLevel="0" collapsed="false">
      <c r="A1863" s="87" t="n">
        <v>1862</v>
      </c>
      <c r="B1863" s="87" t="s">
        <v>13</v>
      </c>
      <c r="C1863" s="87" t="s">
        <v>7914</v>
      </c>
      <c r="D1863" s="87" t="s">
        <v>7915</v>
      </c>
      <c r="E1863" s="88" t="s">
        <v>1838</v>
      </c>
      <c r="F1863" s="87" t="s">
        <v>1839</v>
      </c>
      <c r="G1863" s="87" t="s">
        <v>227</v>
      </c>
      <c r="H1863" s="87"/>
    </row>
    <row r="1864" customFormat="false" ht="15" hidden="false" customHeight="false" outlineLevel="0" collapsed="false">
      <c r="A1864" s="87" t="n">
        <v>1863</v>
      </c>
      <c r="B1864" s="87" t="s">
        <v>13</v>
      </c>
      <c r="C1864" s="87" t="s">
        <v>7916</v>
      </c>
      <c r="D1864" s="87" t="s">
        <v>7917</v>
      </c>
      <c r="E1864" s="88" t="s">
        <v>7918</v>
      </c>
      <c r="F1864" s="87" t="s">
        <v>7919</v>
      </c>
      <c r="G1864" s="87" t="s">
        <v>227</v>
      </c>
      <c r="H1864" s="87"/>
    </row>
    <row r="1865" customFormat="false" ht="15" hidden="false" customHeight="false" outlineLevel="0" collapsed="false">
      <c r="A1865" s="87" t="n">
        <v>1864</v>
      </c>
      <c r="B1865" s="87" t="s">
        <v>13</v>
      </c>
      <c r="C1865" s="87" t="s">
        <v>7920</v>
      </c>
      <c r="D1865" s="87" t="s">
        <v>7921</v>
      </c>
      <c r="E1865" s="88" t="s">
        <v>7922</v>
      </c>
      <c r="F1865" s="87" t="s">
        <v>7923</v>
      </c>
      <c r="G1865" s="87" t="s">
        <v>229</v>
      </c>
      <c r="H1865" s="87"/>
    </row>
    <row r="1866" customFormat="false" ht="15" hidden="false" customHeight="false" outlineLevel="0" collapsed="false">
      <c r="A1866" s="87" t="n">
        <v>1865</v>
      </c>
      <c r="B1866" s="87" t="s">
        <v>13</v>
      </c>
      <c r="C1866" s="87" t="s">
        <v>7924</v>
      </c>
      <c r="D1866" s="87" t="s">
        <v>7925</v>
      </c>
      <c r="E1866" s="88" t="s">
        <v>7926</v>
      </c>
      <c r="F1866" s="87" t="s">
        <v>7927</v>
      </c>
      <c r="G1866" s="87" t="s">
        <v>229</v>
      </c>
      <c r="H1866" s="87"/>
    </row>
    <row r="1867" customFormat="false" ht="15" hidden="false" customHeight="false" outlineLevel="0" collapsed="false">
      <c r="A1867" s="87" t="n">
        <v>1866</v>
      </c>
      <c r="B1867" s="87" t="s">
        <v>13</v>
      </c>
      <c r="C1867" s="87" t="s">
        <v>7928</v>
      </c>
      <c r="D1867" s="87" t="s">
        <v>7929</v>
      </c>
      <c r="E1867" s="88" t="s">
        <v>7930</v>
      </c>
      <c r="F1867" s="87" t="s">
        <v>7931</v>
      </c>
      <c r="G1867" s="87" t="s">
        <v>229</v>
      </c>
      <c r="H1867" s="87"/>
    </row>
    <row r="1868" customFormat="false" ht="15" hidden="false" customHeight="false" outlineLevel="0" collapsed="false">
      <c r="A1868" s="87" t="n">
        <v>1867</v>
      </c>
      <c r="B1868" s="87" t="s">
        <v>13</v>
      </c>
      <c r="C1868" s="87" t="s">
        <v>7932</v>
      </c>
      <c r="D1868" s="87" t="s">
        <v>7933</v>
      </c>
      <c r="E1868" s="88" t="s">
        <v>7934</v>
      </c>
      <c r="F1868" s="87" t="s">
        <v>7935</v>
      </c>
      <c r="G1868" s="87" t="s">
        <v>229</v>
      </c>
      <c r="H1868" s="87"/>
    </row>
    <row r="1869" customFormat="false" ht="15" hidden="false" customHeight="false" outlineLevel="0" collapsed="false">
      <c r="A1869" s="87" t="n">
        <v>1868</v>
      </c>
      <c r="B1869" s="87" t="s">
        <v>13</v>
      </c>
      <c r="C1869" s="87" t="s">
        <v>7936</v>
      </c>
      <c r="D1869" s="87" t="s">
        <v>7937</v>
      </c>
      <c r="E1869" s="88" t="s">
        <v>7938</v>
      </c>
      <c r="F1869" s="87" t="s">
        <v>7939</v>
      </c>
      <c r="G1869" s="87" t="s">
        <v>229</v>
      </c>
      <c r="H1869" s="87"/>
    </row>
    <row r="1870" customFormat="false" ht="15" hidden="false" customHeight="false" outlineLevel="0" collapsed="false">
      <c r="A1870" s="87" t="n">
        <v>1869</v>
      </c>
      <c r="B1870" s="87" t="s">
        <v>13</v>
      </c>
      <c r="C1870" s="87" t="s">
        <v>7940</v>
      </c>
      <c r="D1870" s="87" t="s">
        <v>7941</v>
      </c>
      <c r="E1870" s="88" t="s">
        <v>7942</v>
      </c>
      <c r="F1870" s="87" t="s">
        <v>7943</v>
      </c>
      <c r="G1870" s="87" t="s">
        <v>229</v>
      </c>
      <c r="H1870" s="87"/>
    </row>
    <row r="1871" customFormat="false" ht="15" hidden="false" customHeight="false" outlineLevel="0" collapsed="false">
      <c r="A1871" s="87" t="n">
        <v>1870</v>
      </c>
      <c r="B1871" s="87" t="s">
        <v>13</v>
      </c>
      <c r="C1871" s="87" t="s">
        <v>7944</v>
      </c>
      <c r="D1871" s="87" t="s">
        <v>7945</v>
      </c>
      <c r="E1871" s="88" t="s">
        <v>7946</v>
      </c>
      <c r="F1871" s="87" t="s">
        <v>7947</v>
      </c>
      <c r="G1871" s="87" t="s">
        <v>229</v>
      </c>
      <c r="H1871" s="87"/>
    </row>
    <row r="1872" customFormat="false" ht="15" hidden="false" customHeight="false" outlineLevel="0" collapsed="false">
      <c r="A1872" s="87" t="n">
        <v>1871</v>
      </c>
      <c r="B1872" s="87" t="s">
        <v>13</v>
      </c>
      <c r="C1872" s="87" t="s">
        <v>7948</v>
      </c>
      <c r="D1872" s="87" t="s">
        <v>7949</v>
      </c>
      <c r="E1872" s="88" t="s">
        <v>7950</v>
      </c>
      <c r="F1872" s="87" t="s">
        <v>7951</v>
      </c>
      <c r="G1872" s="87" t="s">
        <v>229</v>
      </c>
      <c r="H1872" s="87"/>
    </row>
    <row r="1873" customFormat="false" ht="15" hidden="false" customHeight="false" outlineLevel="0" collapsed="false">
      <c r="A1873" s="87" t="n">
        <v>1872</v>
      </c>
      <c r="B1873" s="87" t="s">
        <v>13</v>
      </c>
      <c r="C1873" s="87" t="s">
        <v>7952</v>
      </c>
      <c r="D1873" s="87" t="s">
        <v>7953</v>
      </c>
      <c r="E1873" s="88" t="s">
        <v>7954</v>
      </c>
      <c r="F1873" s="87" t="s">
        <v>7955</v>
      </c>
      <c r="G1873" s="87" t="s">
        <v>229</v>
      </c>
      <c r="H1873" s="87"/>
    </row>
    <row r="1874" customFormat="false" ht="15" hidden="false" customHeight="false" outlineLevel="0" collapsed="false">
      <c r="A1874" s="87" t="n">
        <v>1873</v>
      </c>
      <c r="B1874" s="87" t="s">
        <v>13</v>
      </c>
      <c r="C1874" s="87" t="s">
        <v>2792</v>
      </c>
      <c r="D1874" s="87" t="s">
        <v>2793</v>
      </c>
      <c r="E1874" s="88" t="s">
        <v>7956</v>
      </c>
      <c r="F1874" s="87" t="s">
        <v>2795</v>
      </c>
      <c r="G1874" s="87" t="s">
        <v>229</v>
      </c>
      <c r="H1874" s="87"/>
    </row>
    <row r="1875" customFormat="false" ht="15" hidden="false" customHeight="false" outlineLevel="0" collapsed="false">
      <c r="A1875" s="87" t="n">
        <v>1874</v>
      </c>
      <c r="B1875" s="87" t="s">
        <v>13</v>
      </c>
      <c r="C1875" s="87" t="s">
        <v>7957</v>
      </c>
      <c r="D1875" s="87" t="s">
        <v>2797</v>
      </c>
      <c r="E1875" s="88" t="s">
        <v>7958</v>
      </c>
      <c r="F1875" s="87" t="s">
        <v>7959</v>
      </c>
      <c r="G1875" s="87" t="s">
        <v>229</v>
      </c>
      <c r="H1875" s="87"/>
    </row>
    <row r="1876" customFormat="false" ht="15" hidden="false" customHeight="false" outlineLevel="0" collapsed="false">
      <c r="A1876" s="87" t="n">
        <v>1875</v>
      </c>
      <c r="B1876" s="87" t="s">
        <v>13</v>
      </c>
      <c r="C1876" s="87" t="s">
        <v>7960</v>
      </c>
      <c r="D1876" s="87" t="s">
        <v>7961</v>
      </c>
      <c r="E1876" s="88" t="s">
        <v>7962</v>
      </c>
      <c r="F1876" s="87" t="s">
        <v>7963</v>
      </c>
      <c r="G1876" s="87" t="s">
        <v>229</v>
      </c>
      <c r="H1876" s="87"/>
    </row>
    <row r="1877" customFormat="false" ht="15" hidden="false" customHeight="false" outlineLevel="0" collapsed="false">
      <c r="A1877" s="87" t="n">
        <v>1876</v>
      </c>
      <c r="B1877" s="87" t="s">
        <v>13</v>
      </c>
      <c r="C1877" s="87" t="s">
        <v>7964</v>
      </c>
      <c r="D1877" s="87" t="s">
        <v>7965</v>
      </c>
      <c r="E1877" s="88" t="s">
        <v>7966</v>
      </c>
      <c r="F1877" s="87" t="s">
        <v>7967</v>
      </c>
      <c r="G1877" s="87" t="s">
        <v>229</v>
      </c>
      <c r="H1877" s="87"/>
    </row>
    <row r="1878" customFormat="false" ht="15" hidden="false" customHeight="false" outlineLevel="0" collapsed="false">
      <c r="A1878" s="87" t="n">
        <v>1877</v>
      </c>
      <c r="B1878" s="87" t="s">
        <v>13</v>
      </c>
      <c r="C1878" s="87" t="s">
        <v>7968</v>
      </c>
      <c r="D1878" s="87" t="s">
        <v>7969</v>
      </c>
      <c r="E1878" s="88" t="s">
        <v>7970</v>
      </c>
      <c r="F1878" s="87" t="s">
        <v>7971</v>
      </c>
      <c r="G1878" s="87" t="s">
        <v>229</v>
      </c>
      <c r="H1878" s="87"/>
    </row>
    <row r="1879" customFormat="false" ht="15" hidden="false" customHeight="false" outlineLevel="0" collapsed="false">
      <c r="A1879" s="87" t="n">
        <v>1878</v>
      </c>
      <c r="B1879" s="87" t="s">
        <v>13</v>
      </c>
      <c r="C1879" s="87" t="s">
        <v>7972</v>
      </c>
      <c r="D1879" s="87" t="s">
        <v>7973</v>
      </c>
      <c r="E1879" s="88" t="s">
        <v>7974</v>
      </c>
      <c r="F1879" s="87" t="s">
        <v>7975</v>
      </c>
      <c r="G1879" s="87" t="s">
        <v>229</v>
      </c>
      <c r="H1879" s="87"/>
    </row>
    <row r="1880" customFormat="false" ht="15" hidden="false" customHeight="false" outlineLevel="0" collapsed="false">
      <c r="A1880" s="87" t="n">
        <v>1879</v>
      </c>
      <c r="B1880" s="87" t="s">
        <v>13</v>
      </c>
      <c r="C1880" s="87" t="s">
        <v>7976</v>
      </c>
      <c r="D1880" s="87" t="s">
        <v>7977</v>
      </c>
      <c r="E1880" s="88" t="s">
        <v>7978</v>
      </c>
      <c r="F1880" s="87" t="s">
        <v>7979</v>
      </c>
      <c r="G1880" s="87" t="s">
        <v>229</v>
      </c>
      <c r="H1880" s="87"/>
    </row>
    <row r="1881" customFormat="false" ht="15" hidden="false" customHeight="false" outlineLevel="0" collapsed="false">
      <c r="A1881" s="87" t="n">
        <v>1880</v>
      </c>
      <c r="B1881" s="87" t="s">
        <v>13</v>
      </c>
      <c r="C1881" s="87" t="s">
        <v>7980</v>
      </c>
      <c r="D1881" s="87" t="s">
        <v>7981</v>
      </c>
      <c r="E1881" s="88" t="s">
        <v>7982</v>
      </c>
      <c r="F1881" s="87" t="s">
        <v>7983</v>
      </c>
      <c r="G1881" s="87" t="s">
        <v>229</v>
      </c>
      <c r="H1881" s="87"/>
    </row>
    <row r="1882" customFormat="false" ht="15" hidden="false" customHeight="false" outlineLevel="0" collapsed="false">
      <c r="A1882" s="87" t="n">
        <v>1881</v>
      </c>
      <c r="B1882" s="87" t="s">
        <v>13</v>
      </c>
      <c r="C1882" s="87" t="s">
        <v>7984</v>
      </c>
      <c r="D1882" s="87" t="s">
        <v>7985</v>
      </c>
      <c r="E1882" s="88" t="s">
        <v>7986</v>
      </c>
      <c r="F1882" s="87" t="s">
        <v>7987</v>
      </c>
      <c r="G1882" s="87" t="s">
        <v>229</v>
      </c>
      <c r="H1882" s="87" t="s">
        <v>7988</v>
      </c>
    </row>
    <row r="1883" customFormat="false" ht="15" hidden="false" customHeight="false" outlineLevel="0" collapsed="false">
      <c r="A1883" s="87" t="n">
        <v>1882</v>
      </c>
      <c r="B1883" s="87" t="s">
        <v>13</v>
      </c>
      <c r="C1883" s="87" t="s">
        <v>7989</v>
      </c>
      <c r="D1883" s="87" t="s">
        <v>7990</v>
      </c>
      <c r="E1883" s="88" t="s">
        <v>7991</v>
      </c>
      <c r="F1883" s="87" t="s">
        <v>7992</v>
      </c>
      <c r="G1883" s="87" t="s">
        <v>229</v>
      </c>
      <c r="H1883" s="87"/>
    </row>
    <row r="1884" customFormat="false" ht="15" hidden="false" customHeight="false" outlineLevel="0" collapsed="false">
      <c r="A1884" s="87" t="n">
        <v>1883</v>
      </c>
      <c r="B1884" s="87" t="s">
        <v>13</v>
      </c>
      <c r="C1884" s="87" t="s">
        <v>7993</v>
      </c>
      <c r="D1884" s="87" t="s">
        <v>7994</v>
      </c>
      <c r="E1884" s="88" t="s">
        <v>7995</v>
      </c>
      <c r="F1884" s="87" t="s">
        <v>7996</v>
      </c>
      <c r="G1884" s="87" t="s">
        <v>229</v>
      </c>
      <c r="H1884" s="87"/>
    </row>
    <row r="1885" customFormat="false" ht="15" hidden="false" customHeight="false" outlineLevel="0" collapsed="false">
      <c r="A1885" s="87" t="n">
        <v>1884</v>
      </c>
      <c r="B1885" s="87" t="s">
        <v>13</v>
      </c>
      <c r="C1885" s="87" t="s">
        <v>1333</v>
      </c>
      <c r="D1885" s="87" t="s">
        <v>7997</v>
      </c>
      <c r="E1885" s="88" t="s">
        <v>7998</v>
      </c>
      <c r="F1885" s="87" t="s">
        <v>7999</v>
      </c>
      <c r="G1885" s="87" t="s">
        <v>231</v>
      </c>
      <c r="H1885" s="87" t="s">
        <v>8000</v>
      </c>
    </row>
    <row r="1886" customFormat="false" ht="15" hidden="false" customHeight="false" outlineLevel="0" collapsed="false">
      <c r="A1886" s="87" t="n">
        <v>1885</v>
      </c>
      <c r="B1886" s="87" t="s">
        <v>13</v>
      </c>
      <c r="C1886" s="87" t="s">
        <v>8001</v>
      </c>
      <c r="D1886" s="87" t="s">
        <v>8002</v>
      </c>
      <c r="E1886" s="88" t="s">
        <v>8003</v>
      </c>
      <c r="F1886" s="87" t="s">
        <v>8004</v>
      </c>
      <c r="G1886" s="87" t="s">
        <v>231</v>
      </c>
      <c r="H1886" s="87" t="s">
        <v>8005</v>
      </c>
    </row>
    <row r="1887" customFormat="false" ht="15" hidden="false" customHeight="false" outlineLevel="0" collapsed="false">
      <c r="A1887" s="87" t="n">
        <v>1886</v>
      </c>
      <c r="B1887" s="87" t="s">
        <v>13</v>
      </c>
      <c r="C1887" s="87" t="s">
        <v>8006</v>
      </c>
      <c r="D1887" s="87" t="s">
        <v>8007</v>
      </c>
      <c r="E1887" s="88" t="s">
        <v>1295</v>
      </c>
      <c r="F1887" s="87" t="s">
        <v>1296</v>
      </c>
      <c r="G1887" s="87" t="s">
        <v>231</v>
      </c>
      <c r="H1887" s="87"/>
    </row>
    <row r="1888" customFormat="false" ht="15" hidden="false" customHeight="false" outlineLevel="0" collapsed="false">
      <c r="A1888" s="87" t="n">
        <v>1887</v>
      </c>
      <c r="B1888" s="87" t="s">
        <v>13</v>
      </c>
      <c r="C1888" s="87" t="s">
        <v>1305</v>
      </c>
      <c r="D1888" s="87" t="s">
        <v>8008</v>
      </c>
      <c r="E1888" s="88" t="s">
        <v>8009</v>
      </c>
      <c r="F1888" s="87" t="s">
        <v>8010</v>
      </c>
      <c r="G1888" s="87" t="s">
        <v>231</v>
      </c>
      <c r="H1888" s="87" t="s">
        <v>8011</v>
      </c>
    </row>
    <row r="1889" customFormat="false" ht="15" hidden="false" customHeight="false" outlineLevel="0" collapsed="false">
      <c r="A1889" s="87" t="n">
        <v>1888</v>
      </c>
      <c r="B1889" s="87" t="s">
        <v>13</v>
      </c>
      <c r="C1889" s="87" t="s">
        <v>1325</v>
      </c>
      <c r="D1889" s="87" t="s">
        <v>8012</v>
      </c>
      <c r="E1889" s="88" t="s">
        <v>8013</v>
      </c>
      <c r="F1889" s="87" t="s">
        <v>8014</v>
      </c>
      <c r="G1889" s="87" t="s">
        <v>231</v>
      </c>
      <c r="H1889" s="87" t="s">
        <v>8015</v>
      </c>
    </row>
    <row r="1890" customFormat="false" ht="15" hidden="false" customHeight="false" outlineLevel="0" collapsed="false">
      <c r="A1890" s="87" t="n">
        <v>1889</v>
      </c>
      <c r="B1890" s="87" t="s">
        <v>13</v>
      </c>
      <c r="C1890" s="87" t="s">
        <v>1329</v>
      </c>
      <c r="D1890" s="87" t="s">
        <v>8016</v>
      </c>
      <c r="E1890" s="88" t="s">
        <v>8017</v>
      </c>
      <c r="F1890" s="87" t="s">
        <v>8018</v>
      </c>
      <c r="G1890" s="87" t="s">
        <v>231</v>
      </c>
      <c r="H1890" s="87"/>
    </row>
    <row r="1891" customFormat="false" ht="15" hidden="false" customHeight="false" outlineLevel="0" collapsed="false">
      <c r="A1891" s="87" t="n">
        <v>1890</v>
      </c>
      <c r="B1891" s="87" t="s">
        <v>13</v>
      </c>
      <c r="C1891" s="87" t="s">
        <v>8019</v>
      </c>
      <c r="D1891" s="87" t="s">
        <v>8020</v>
      </c>
      <c r="E1891" s="88" t="s">
        <v>5421</v>
      </c>
      <c r="F1891" s="87" t="s">
        <v>5422</v>
      </c>
      <c r="G1891" s="87" t="s">
        <v>231</v>
      </c>
      <c r="H1891" s="87"/>
    </row>
    <row r="1892" customFormat="false" ht="15" hidden="false" customHeight="false" outlineLevel="0" collapsed="false">
      <c r="A1892" s="87" t="n">
        <v>1891</v>
      </c>
      <c r="B1892" s="87" t="s">
        <v>13</v>
      </c>
      <c r="C1892" s="87" t="s">
        <v>5113</v>
      </c>
      <c r="D1892" s="87" t="s">
        <v>8021</v>
      </c>
      <c r="E1892" s="88" t="s">
        <v>5115</v>
      </c>
      <c r="F1892" s="87" t="s">
        <v>1926</v>
      </c>
      <c r="G1892" s="87" t="s">
        <v>231</v>
      </c>
      <c r="H1892" s="87" t="s">
        <v>5116</v>
      </c>
    </row>
    <row r="1893" customFormat="false" ht="15" hidden="false" customHeight="false" outlineLevel="0" collapsed="false">
      <c r="A1893" s="87" t="n">
        <v>1892</v>
      </c>
      <c r="B1893" s="87" t="s">
        <v>13</v>
      </c>
      <c r="C1893" s="87" t="s">
        <v>8022</v>
      </c>
      <c r="D1893" s="87" t="s">
        <v>5416</v>
      </c>
      <c r="E1893" s="88" t="s">
        <v>8023</v>
      </c>
      <c r="F1893" s="87" t="s">
        <v>8024</v>
      </c>
      <c r="G1893" s="87" t="s">
        <v>231</v>
      </c>
      <c r="H1893" s="87"/>
    </row>
    <row r="1894" customFormat="false" ht="15" hidden="false" customHeight="false" outlineLevel="0" collapsed="false">
      <c r="A1894" s="87" t="n">
        <v>1893</v>
      </c>
      <c r="B1894" s="87" t="s">
        <v>13</v>
      </c>
      <c r="C1894" s="87" t="s">
        <v>6747</v>
      </c>
      <c r="D1894" s="87" t="s">
        <v>8025</v>
      </c>
      <c r="E1894" s="88" t="s">
        <v>6749</v>
      </c>
      <c r="F1894" s="87" t="s">
        <v>8026</v>
      </c>
      <c r="G1894" s="87" t="s">
        <v>231</v>
      </c>
      <c r="H1894" s="87"/>
    </row>
    <row r="1895" customFormat="false" ht="15" hidden="false" customHeight="false" outlineLevel="0" collapsed="false">
      <c r="A1895" s="87" t="n">
        <v>1894</v>
      </c>
      <c r="B1895" s="87" t="s">
        <v>13</v>
      </c>
      <c r="C1895" s="87" t="s">
        <v>8027</v>
      </c>
      <c r="D1895" s="87" t="s">
        <v>8028</v>
      </c>
      <c r="E1895" s="88" t="s">
        <v>8029</v>
      </c>
      <c r="F1895" s="87" t="s">
        <v>8030</v>
      </c>
      <c r="G1895" s="87" t="s">
        <v>231</v>
      </c>
      <c r="H1895" s="87"/>
    </row>
    <row r="1896" customFormat="false" ht="15" hidden="false" customHeight="false" outlineLevel="0" collapsed="false">
      <c r="A1896" s="87" t="n">
        <v>1895</v>
      </c>
      <c r="B1896" s="87" t="s">
        <v>13</v>
      </c>
      <c r="C1896" s="87" t="s">
        <v>8031</v>
      </c>
      <c r="D1896" s="87" t="s">
        <v>8032</v>
      </c>
      <c r="E1896" s="88" t="s">
        <v>8033</v>
      </c>
      <c r="F1896" s="87" t="s">
        <v>8034</v>
      </c>
      <c r="G1896" s="87" t="s">
        <v>231</v>
      </c>
      <c r="H1896" s="87"/>
    </row>
    <row r="1897" customFormat="false" ht="15" hidden="false" customHeight="false" outlineLevel="0" collapsed="false">
      <c r="A1897" s="87" t="n">
        <v>1896</v>
      </c>
      <c r="B1897" s="87" t="s">
        <v>13</v>
      </c>
      <c r="C1897" s="87" t="s">
        <v>8035</v>
      </c>
      <c r="D1897" s="87" t="s">
        <v>8036</v>
      </c>
      <c r="E1897" s="88" t="s">
        <v>4309</v>
      </c>
      <c r="F1897" s="87" t="s">
        <v>4310</v>
      </c>
      <c r="G1897" s="87" t="s">
        <v>231</v>
      </c>
      <c r="H1897" s="87"/>
    </row>
    <row r="1898" customFormat="false" ht="15" hidden="false" customHeight="false" outlineLevel="0" collapsed="false">
      <c r="A1898" s="87" t="n">
        <v>1897</v>
      </c>
      <c r="B1898" s="87" t="s">
        <v>13</v>
      </c>
      <c r="C1898" s="87" t="s">
        <v>8037</v>
      </c>
      <c r="D1898" s="87" t="s">
        <v>8038</v>
      </c>
      <c r="E1898" s="88" t="s">
        <v>8039</v>
      </c>
      <c r="F1898" s="87" t="s">
        <v>8040</v>
      </c>
      <c r="G1898" s="87" t="s">
        <v>231</v>
      </c>
      <c r="H1898" s="87"/>
    </row>
    <row r="1899" customFormat="false" ht="15" hidden="false" customHeight="false" outlineLevel="0" collapsed="false">
      <c r="A1899" s="87" t="n">
        <v>1898</v>
      </c>
      <c r="B1899" s="87" t="s">
        <v>13</v>
      </c>
      <c r="C1899" s="87" t="s">
        <v>8041</v>
      </c>
      <c r="D1899" s="87" t="s">
        <v>8042</v>
      </c>
      <c r="E1899" s="88" t="s">
        <v>8043</v>
      </c>
      <c r="F1899" s="87" t="s">
        <v>8044</v>
      </c>
      <c r="G1899" s="87" t="s">
        <v>231</v>
      </c>
      <c r="H1899" s="87"/>
    </row>
    <row r="1900" customFormat="false" ht="15" hidden="false" customHeight="false" outlineLevel="0" collapsed="false">
      <c r="A1900" s="87" t="n">
        <v>1899</v>
      </c>
      <c r="B1900" s="87" t="s">
        <v>13</v>
      </c>
      <c r="C1900" s="87" t="s">
        <v>8045</v>
      </c>
      <c r="D1900" s="87" t="s">
        <v>8046</v>
      </c>
      <c r="E1900" s="88" t="s">
        <v>8047</v>
      </c>
      <c r="F1900" s="87" t="s">
        <v>8048</v>
      </c>
      <c r="G1900" s="87" t="s">
        <v>233</v>
      </c>
      <c r="H1900" s="87" t="s">
        <v>8049</v>
      </c>
    </row>
    <row r="1901" customFormat="false" ht="15" hidden="false" customHeight="false" outlineLevel="0" collapsed="false">
      <c r="A1901" s="87" t="n">
        <v>1900</v>
      </c>
      <c r="B1901" s="87" t="s">
        <v>13</v>
      </c>
      <c r="C1901" s="87" t="s">
        <v>8050</v>
      </c>
      <c r="D1901" s="87" t="s">
        <v>8051</v>
      </c>
      <c r="E1901" s="88" t="s">
        <v>8052</v>
      </c>
      <c r="F1901" s="87" t="s">
        <v>8053</v>
      </c>
      <c r="G1901" s="87" t="s">
        <v>233</v>
      </c>
      <c r="H1901" s="87" t="s">
        <v>8054</v>
      </c>
    </row>
    <row r="1902" customFormat="false" ht="15" hidden="false" customHeight="false" outlineLevel="0" collapsed="false">
      <c r="A1902" s="87" t="n">
        <v>1901</v>
      </c>
      <c r="B1902" s="87" t="s">
        <v>13</v>
      </c>
      <c r="C1902" s="87" t="s">
        <v>8055</v>
      </c>
      <c r="D1902" s="87" t="s">
        <v>8056</v>
      </c>
      <c r="E1902" s="88" t="s">
        <v>8057</v>
      </c>
      <c r="F1902" s="87" t="s">
        <v>8058</v>
      </c>
      <c r="G1902" s="87" t="s">
        <v>233</v>
      </c>
      <c r="H1902" s="87" t="s">
        <v>8059</v>
      </c>
    </row>
    <row r="1903" customFormat="false" ht="15" hidden="false" customHeight="false" outlineLevel="0" collapsed="false">
      <c r="A1903" s="87" t="n">
        <v>1902</v>
      </c>
      <c r="B1903" s="87" t="s">
        <v>13</v>
      </c>
      <c r="C1903" s="87" t="s">
        <v>8060</v>
      </c>
      <c r="D1903" s="87" t="s">
        <v>8061</v>
      </c>
      <c r="E1903" s="88" t="s">
        <v>8062</v>
      </c>
      <c r="F1903" s="87" t="s">
        <v>8063</v>
      </c>
      <c r="G1903" s="87" t="s">
        <v>233</v>
      </c>
      <c r="H1903" s="87" t="s">
        <v>8064</v>
      </c>
    </row>
    <row r="1904" customFormat="false" ht="15" hidden="false" customHeight="false" outlineLevel="0" collapsed="false">
      <c r="A1904" s="87" t="n">
        <v>1903</v>
      </c>
      <c r="B1904" s="87" t="s">
        <v>13</v>
      </c>
      <c r="C1904" s="87" t="s">
        <v>8065</v>
      </c>
      <c r="D1904" s="87" t="s">
        <v>8066</v>
      </c>
      <c r="E1904" s="88" t="s">
        <v>8067</v>
      </c>
      <c r="F1904" s="87" t="s">
        <v>8068</v>
      </c>
      <c r="G1904" s="87" t="s">
        <v>233</v>
      </c>
      <c r="H1904" s="87" t="s">
        <v>8069</v>
      </c>
    </row>
    <row r="1905" customFormat="false" ht="15" hidden="false" customHeight="false" outlineLevel="0" collapsed="false">
      <c r="A1905" s="87" t="n">
        <v>1904</v>
      </c>
      <c r="B1905" s="87" t="s">
        <v>13</v>
      </c>
      <c r="C1905" s="87" t="s">
        <v>8070</v>
      </c>
      <c r="D1905" s="87" t="s">
        <v>8071</v>
      </c>
      <c r="E1905" s="88" t="s">
        <v>8072</v>
      </c>
      <c r="F1905" s="87" t="s">
        <v>8073</v>
      </c>
      <c r="G1905" s="87" t="s">
        <v>233</v>
      </c>
      <c r="H1905" s="87" t="s">
        <v>8074</v>
      </c>
    </row>
    <row r="1906" customFormat="false" ht="15" hidden="false" customHeight="false" outlineLevel="0" collapsed="false">
      <c r="A1906" s="87" t="n">
        <v>1905</v>
      </c>
      <c r="B1906" s="87" t="s">
        <v>13</v>
      </c>
      <c r="C1906" s="87" t="s">
        <v>8075</v>
      </c>
      <c r="D1906" s="87" t="s">
        <v>8076</v>
      </c>
      <c r="E1906" s="88" t="s">
        <v>8077</v>
      </c>
      <c r="F1906" s="87" t="s">
        <v>8078</v>
      </c>
      <c r="G1906" s="87" t="s">
        <v>233</v>
      </c>
      <c r="H1906" s="87" t="s">
        <v>8079</v>
      </c>
    </row>
    <row r="1907" customFormat="false" ht="15" hidden="false" customHeight="false" outlineLevel="0" collapsed="false">
      <c r="A1907" s="87" t="n">
        <v>1906</v>
      </c>
      <c r="B1907" s="87" t="s">
        <v>13</v>
      </c>
      <c r="C1907" s="87" t="s">
        <v>8080</v>
      </c>
      <c r="D1907" s="87" t="s">
        <v>8081</v>
      </c>
      <c r="E1907" s="88" t="s">
        <v>8082</v>
      </c>
      <c r="F1907" s="87" t="s">
        <v>8083</v>
      </c>
      <c r="G1907" s="87" t="s">
        <v>233</v>
      </c>
      <c r="H1907" s="87"/>
    </row>
    <row r="1908" customFormat="false" ht="15" hidden="false" customHeight="false" outlineLevel="0" collapsed="false">
      <c r="A1908" s="87" t="n">
        <v>1907</v>
      </c>
      <c r="B1908" s="87" t="s">
        <v>13</v>
      </c>
      <c r="C1908" s="87" t="s">
        <v>8084</v>
      </c>
      <c r="D1908" s="87" t="s">
        <v>8085</v>
      </c>
      <c r="E1908" s="88" t="s">
        <v>8086</v>
      </c>
      <c r="F1908" s="87" t="s">
        <v>8087</v>
      </c>
      <c r="G1908" s="87" t="s">
        <v>233</v>
      </c>
      <c r="H1908" s="87"/>
    </row>
    <row r="1909" customFormat="false" ht="15" hidden="false" customHeight="false" outlineLevel="0" collapsed="false">
      <c r="A1909" s="87" t="n">
        <v>1908</v>
      </c>
      <c r="B1909" s="87" t="s">
        <v>13</v>
      </c>
      <c r="C1909" s="87" t="s">
        <v>8088</v>
      </c>
      <c r="D1909" s="87" t="s">
        <v>8089</v>
      </c>
      <c r="E1909" s="88" t="s">
        <v>8090</v>
      </c>
      <c r="F1909" s="87" t="s">
        <v>8091</v>
      </c>
      <c r="G1909" s="87" t="s">
        <v>233</v>
      </c>
      <c r="H1909" s="87"/>
    </row>
    <row r="1910" customFormat="false" ht="15" hidden="false" customHeight="false" outlineLevel="0" collapsed="false">
      <c r="A1910" s="87" t="n">
        <v>1909</v>
      </c>
      <c r="B1910" s="87" t="s">
        <v>13</v>
      </c>
      <c r="C1910" s="87" t="s">
        <v>8092</v>
      </c>
      <c r="D1910" s="87" t="s">
        <v>8093</v>
      </c>
      <c r="E1910" s="88" t="s">
        <v>8094</v>
      </c>
      <c r="F1910" s="87" t="s">
        <v>8095</v>
      </c>
      <c r="G1910" s="87" t="s">
        <v>233</v>
      </c>
      <c r="H1910" s="87" t="s">
        <v>8096</v>
      </c>
    </row>
    <row r="1911" customFormat="false" ht="15" hidden="false" customHeight="false" outlineLevel="0" collapsed="false">
      <c r="A1911" s="87" t="n">
        <v>1910</v>
      </c>
      <c r="B1911" s="87" t="s">
        <v>13</v>
      </c>
      <c r="C1911" s="87" t="s">
        <v>8097</v>
      </c>
      <c r="D1911" s="87" t="s">
        <v>8098</v>
      </c>
      <c r="E1911" s="88" t="s">
        <v>8099</v>
      </c>
      <c r="F1911" s="87" t="s">
        <v>8100</v>
      </c>
      <c r="G1911" s="87" t="s">
        <v>233</v>
      </c>
      <c r="H1911" s="87" t="s">
        <v>8101</v>
      </c>
    </row>
    <row r="1912" customFormat="false" ht="15" hidden="false" customHeight="false" outlineLevel="0" collapsed="false">
      <c r="A1912" s="87" t="n">
        <v>1911</v>
      </c>
      <c r="B1912" s="87" t="s">
        <v>13</v>
      </c>
      <c r="C1912" s="87" t="s">
        <v>8102</v>
      </c>
      <c r="D1912" s="87" t="s">
        <v>8103</v>
      </c>
      <c r="E1912" s="88" t="s">
        <v>8104</v>
      </c>
      <c r="F1912" s="87" t="s">
        <v>8105</v>
      </c>
      <c r="G1912" s="87" t="s">
        <v>233</v>
      </c>
      <c r="H1912" s="87" t="s">
        <v>8106</v>
      </c>
    </row>
    <row r="1913" customFormat="false" ht="15" hidden="false" customHeight="false" outlineLevel="0" collapsed="false">
      <c r="A1913" s="87" t="n">
        <v>1912</v>
      </c>
      <c r="B1913" s="87" t="s">
        <v>13</v>
      </c>
      <c r="C1913" s="87" t="s">
        <v>8107</v>
      </c>
      <c r="D1913" s="87" t="s">
        <v>8108</v>
      </c>
      <c r="E1913" s="88" t="s">
        <v>8109</v>
      </c>
      <c r="F1913" s="87" t="s">
        <v>8110</v>
      </c>
      <c r="G1913" s="87" t="s">
        <v>233</v>
      </c>
      <c r="H1913" s="87" t="s">
        <v>8111</v>
      </c>
    </row>
    <row r="1914" customFormat="false" ht="15" hidden="false" customHeight="false" outlineLevel="0" collapsed="false">
      <c r="A1914" s="87" t="n">
        <v>1913</v>
      </c>
      <c r="B1914" s="87" t="s">
        <v>13</v>
      </c>
      <c r="C1914" s="87" t="s">
        <v>8112</v>
      </c>
      <c r="D1914" s="87" t="s">
        <v>8113</v>
      </c>
      <c r="E1914" s="88" t="s">
        <v>8114</v>
      </c>
      <c r="F1914" s="87" t="s">
        <v>8115</v>
      </c>
      <c r="G1914" s="87" t="s">
        <v>235</v>
      </c>
      <c r="H1914" s="87" t="s">
        <v>8116</v>
      </c>
    </row>
    <row r="1915" customFormat="false" ht="15" hidden="false" customHeight="false" outlineLevel="0" collapsed="false">
      <c r="A1915" s="87" t="n">
        <v>1914</v>
      </c>
      <c r="B1915" s="87" t="s">
        <v>13</v>
      </c>
      <c r="C1915" s="87" t="s">
        <v>8117</v>
      </c>
      <c r="D1915" s="87" t="s">
        <v>8118</v>
      </c>
      <c r="E1915" s="88" t="s">
        <v>8119</v>
      </c>
      <c r="F1915" s="87" t="s">
        <v>8120</v>
      </c>
      <c r="G1915" s="87" t="s">
        <v>235</v>
      </c>
      <c r="H1915" s="87"/>
    </row>
    <row r="1916" customFormat="false" ht="15" hidden="false" customHeight="false" outlineLevel="0" collapsed="false">
      <c r="A1916" s="87" t="n">
        <v>1915</v>
      </c>
      <c r="B1916" s="87" t="s">
        <v>13</v>
      </c>
      <c r="C1916" s="87" t="s">
        <v>8121</v>
      </c>
      <c r="D1916" s="87" t="s">
        <v>8122</v>
      </c>
      <c r="E1916" s="88" t="s">
        <v>8123</v>
      </c>
      <c r="F1916" s="87" t="s">
        <v>8124</v>
      </c>
      <c r="G1916" s="87" t="s">
        <v>235</v>
      </c>
      <c r="H1916" s="87"/>
    </row>
    <row r="1917" customFormat="false" ht="15" hidden="false" customHeight="false" outlineLevel="0" collapsed="false">
      <c r="A1917" s="87" t="n">
        <v>1916</v>
      </c>
      <c r="B1917" s="87" t="s">
        <v>13</v>
      </c>
      <c r="C1917" s="87" t="s">
        <v>8125</v>
      </c>
      <c r="D1917" s="87" t="s">
        <v>8126</v>
      </c>
      <c r="E1917" s="88" t="s">
        <v>8127</v>
      </c>
      <c r="F1917" s="87" t="s">
        <v>8128</v>
      </c>
      <c r="G1917" s="87" t="s">
        <v>235</v>
      </c>
      <c r="H1917" s="87"/>
    </row>
    <row r="1918" customFormat="false" ht="15" hidden="false" customHeight="false" outlineLevel="0" collapsed="false">
      <c r="A1918" s="87" t="n">
        <v>1917</v>
      </c>
      <c r="B1918" s="87" t="s">
        <v>13</v>
      </c>
      <c r="C1918" s="87" t="s">
        <v>8129</v>
      </c>
      <c r="D1918" s="87" t="s">
        <v>8130</v>
      </c>
      <c r="E1918" s="87" t="s">
        <v>8131</v>
      </c>
      <c r="F1918" s="87" t="s">
        <v>8132</v>
      </c>
      <c r="G1918" s="87" t="s">
        <v>235</v>
      </c>
      <c r="H1918" s="87" t="s">
        <v>8133</v>
      </c>
    </row>
    <row r="1919" customFormat="false" ht="15" hidden="false" customHeight="false" outlineLevel="0" collapsed="false">
      <c r="A1919" s="87" t="n">
        <v>1918</v>
      </c>
      <c r="B1919" s="87" t="s">
        <v>13</v>
      </c>
      <c r="C1919" s="87" t="s">
        <v>8134</v>
      </c>
      <c r="D1919" s="87" t="s">
        <v>8135</v>
      </c>
      <c r="E1919" s="87" t="s">
        <v>8136</v>
      </c>
      <c r="F1919" s="87" t="s">
        <v>8137</v>
      </c>
      <c r="G1919" s="87" t="s">
        <v>235</v>
      </c>
      <c r="H1919" s="87" t="s">
        <v>8138</v>
      </c>
    </row>
    <row r="1920" customFormat="false" ht="15" hidden="false" customHeight="false" outlineLevel="0" collapsed="false">
      <c r="A1920" s="87" t="n">
        <v>1919</v>
      </c>
      <c r="B1920" s="87" t="s">
        <v>13</v>
      </c>
      <c r="C1920" s="87" t="s">
        <v>8139</v>
      </c>
      <c r="D1920" s="87" t="s">
        <v>8140</v>
      </c>
      <c r="E1920" s="88" t="s">
        <v>8141</v>
      </c>
      <c r="F1920" s="87" t="s">
        <v>8142</v>
      </c>
      <c r="G1920" s="87" t="s">
        <v>235</v>
      </c>
      <c r="H1920" s="87"/>
    </row>
    <row r="1921" customFormat="false" ht="15" hidden="false" customHeight="false" outlineLevel="0" collapsed="false">
      <c r="A1921" s="87" t="n">
        <v>1920</v>
      </c>
      <c r="B1921" s="87" t="s">
        <v>13</v>
      </c>
      <c r="C1921" s="87" t="s">
        <v>8143</v>
      </c>
      <c r="D1921" s="87" t="s">
        <v>8144</v>
      </c>
      <c r="E1921" s="88" t="s">
        <v>8145</v>
      </c>
      <c r="F1921" s="87" t="s">
        <v>8146</v>
      </c>
      <c r="G1921" s="87" t="s">
        <v>235</v>
      </c>
      <c r="H1921" s="87"/>
    </row>
    <row r="1922" customFormat="false" ht="15" hidden="false" customHeight="false" outlineLevel="0" collapsed="false">
      <c r="A1922" s="87" t="n">
        <v>1921</v>
      </c>
      <c r="B1922" s="87" t="s">
        <v>13</v>
      </c>
      <c r="C1922" s="87" t="s">
        <v>8147</v>
      </c>
      <c r="D1922" s="87" t="s">
        <v>8148</v>
      </c>
      <c r="E1922" s="88" t="s">
        <v>8149</v>
      </c>
      <c r="F1922" s="87" t="s">
        <v>8150</v>
      </c>
      <c r="G1922" s="87" t="s">
        <v>235</v>
      </c>
      <c r="H1922" s="87"/>
    </row>
    <row r="1923" customFormat="false" ht="15" hidden="false" customHeight="false" outlineLevel="0" collapsed="false">
      <c r="A1923" s="87" t="n">
        <v>1922</v>
      </c>
      <c r="B1923" s="87" t="s">
        <v>13</v>
      </c>
      <c r="C1923" s="87" t="s">
        <v>8151</v>
      </c>
      <c r="D1923" s="87" t="s">
        <v>8152</v>
      </c>
      <c r="E1923" s="88" t="s">
        <v>8153</v>
      </c>
      <c r="F1923" s="87" t="s">
        <v>8154</v>
      </c>
      <c r="G1923" s="87" t="s">
        <v>235</v>
      </c>
      <c r="H1923" s="87"/>
    </row>
    <row r="1924" customFormat="false" ht="15" hidden="false" customHeight="false" outlineLevel="0" collapsed="false">
      <c r="A1924" s="87" t="n">
        <v>1923</v>
      </c>
      <c r="B1924" s="87" t="s">
        <v>13</v>
      </c>
      <c r="C1924" s="87" t="s">
        <v>8155</v>
      </c>
      <c r="D1924" s="87" t="s">
        <v>8156</v>
      </c>
      <c r="E1924" s="88" t="s">
        <v>8157</v>
      </c>
      <c r="F1924" s="87" t="s">
        <v>8158</v>
      </c>
      <c r="G1924" s="87" t="s">
        <v>235</v>
      </c>
      <c r="H1924" s="87" t="s">
        <v>8159</v>
      </c>
    </row>
    <row r="1925" customFormat="false" ht="15" hidden="false" customHeight="false" outlineLevel="0" collapsed="false">
      <c r="A1925" s="87" t="n">
        <v>1924</v>
      </c>
      <c r="B1925" s="87" t="s">
        <v>13</v>
      </c>
      <c r="C1925" s="87" t="s">
        <v>8160</v>
      </c>
      <c r="D1925" s="87" t="s">
        <v>8161</v>
      </c>
      <c r="E1925" s="88" t="s">
        <v>8162</v>
      </c>
      <c r="F1925" s="87" t="s">
        <v>8163</v>
      </c>
      <c r="G1925" s="87" t="s">
        <v>235</v>
      </c>
      <c r="H1925" s="87" t="s">
        <v>8164</v>
      </c>
    </row>
    <row r="1926" customFormat="false" ht="15" hidden="false" customHeight="false" outlineLevel="0" collapsed="false">
      <c r="A1926" s="87" t="n">
        <v>1925</v>
      </c>
      <c r="B1926" s="87" t="s">
        <v>13</v>
      </c>
      <c r="C1926" s="87" t="s">
        <v>8165</v>
      </c>
      <c r="D1926" s="87" t="s">
        <v>8166</v>
      </c>
      <c r="E1926" s="88" t="s">
        <v>8167</v>
      </c>
      <c r="F1926" s="87" t="s">
        <v>8168</v>
      </c>
      <c r="G1926" s="87" t="s">
        <v>235</v>
      </c>
      <c r="H1926" s="87" t="s">
        <v>8169</v>
      </c>
    </row>
    <row r="1927" customFormat="false" ht="15" hidden="false" customHeight="false" outlineLevel="0" collapsed="false">
      <c r="A1927" s="87" t="n">
        <v>1926</v>
      </c>
      <c r="B1927" s="87" t="s">
        <v>13</v>
      </c>
      <c r="C1927" s="87" t="s">
        <v>8170</v>
      </c>
      <c r="D1927" s="87" t="s">
        <v>8171</v>
      </c>
      <c r="E1927" s="88" t="s">
        <v>8172</v>
      </c>
      <c r="F1927" s="87" t="s">
        <v>8173</v>
      </c>
      <c r="G1927" s="87" t="s">
        <v>235</v>
      </c>
      <c r="H1927" s="87"/>
    </row>
    <row r="1928" customFormat="false" ht="15" hidden="false" customHeight="false" outlineLevel="0" collapsed="false">
      <c r="A1928" s="87" t="n">
        <v>1927</v>
      </c>
      <c r="B1928" s="87" t="s">
        <v>13</v>
      </c>
      <c r="C1928" s="87" t="s">
        <v>8174</v>
      </c>
      <c r="D1928" s="87" t="s">
        <v>8175</v>
      </c>
      <c r="E1928" s="88" t="s">
        <v>8176</v>
      </c>
      <c r="F1928" s="87" t="s">
        <v>8177</v>
      </c>
      <c r="G1928" s="87" t="s">
        <v>235</v>
      </c>
      <c r="H1928" s="87"/>
    </row>
    <row r="1929" customFormat="false" ht="15" hidden="false" customHeight="false" outlineLevel="0" collapsed="false">
      <c r="A1929" s="87" t="n">
        <v>1928</v>
      </c>
      <c r="B1929" s="87" t="s">
        <v>13</v>
      </c>
      <c r="C1929" s="87" t="s">
        <v>8178</v>
      </c>
      <c r="D1929" s="87" t="s">
        <v>8179</v>
      </c>
      <c r="E1929" s="88" t="s">
        <v>8180</v>
      </c>
      <c r="F1929" s="87" t="s">
        <v>8181</v>
      </c>
      <c r="G1929" s="87" t="s">
        <v>235</v>
      </c>
      <c r="H1929" s="87"/>
    </row>
    <row r="1930" customFormat="false" ht="15" hidden="false" customHeight="false" outlineLevel="0" collapsed="false">
      <c r="A1930" s="87" t="n">
        <v>1929</v>
      </c>
      <c r="B1930" s="87" t="s">
        <v>13</v>
      </c>
      <c r="C1930" s="87" t="s">
        <v>8182</v>
      </c>
      <c r="D1930" s="87" t="s">
        <v>8183</v>
      </c>
      <c r="E1930" s="88" t="s">
        <v>8184</v>
      </c>
      <c r="F1930" s="87" t="s">
        <v>8185</v>
      </c>
      <c r="G1930" s="87" t="s">
        <v>235</v>
      </c>
      <c r="H1930" s="87"/>
    </row>
    <row r="1931" customFormat="false" ht="15" hidden="false" customHeight="false" outlineLevel="0" collapsed="false">
      <c r="A1931" s="87" t="n">
        <v>1930</v>
      </c>
      <c r="B1931" s="87" t="s">
        <v>13</v>
      </c>
      <c r="C1931" s="87" t="s">
        <v>8186</v>
      </c>
      <c r="D1931" s="87" t="s">
        <v>8187</v>
      </c>
      <c r="E1931" s="88" t="s">
        <v>8188</v>
      </c>
      <c r="F1931" s="87" t="s">
        <v>8189</v>
      </c>
      <c r="G1931" s="87" t="s">
        <v>235</v>
      </c>
      <c r="H1931" s="87"/>
    </row>
    <row r="1932" customFormat="false" ht="15" hidden="false" customHeight="false" outlineLevel="0" collapsed="false">
      <c r="A1932" s="87" t="n">
        <v>1931</v>
      </c>
      <c r="B1932" s="87" t="s">
        <v>13</v>
      </c>
      <c r="C1932" s="87" t="s">
        <v>8190</v>
      </c>
      <c r="D1932" s="87" t="s">
        <v>8191</v>
      </c>
      <c r="E1932" s="88" t="s">
        <v>8192</v>
      </c>
      <c r="F1932" s="87" t="s">
        <v>8193</v>
      </c>
      <c r="G1932" s="87" t="s">
        <v>235</v>
      </c>
      <c r="H1932" s="87"/>
    </row>
    <row r="1933" customFormat="false" ht="15" hidden="false" customHeight="false" outlineLevel="0" collapsed="false">
      <c r="A1933" s="87" t="n">
        <v>1932</v>
      </c>
      <c r="B1933" s="87" t="s">
        <v>13</v>
      </c>
      <c r="C1933" s="87" t="s">
        <v>8194</v>
      </c>
      <c r="D1933" s="87" t="s">
        <v>8195</v>
      </c>
      <c r="E1933" s="88" t="s">
        <v>8196</v>
      </c>
      <c r="F1933" s="87" t="s">
        <v>8197</v>
      </c>
      <c r="G1933" s="87" t="s">
        <v>235</v>
      </c>
      <c r="H1933" s="87"/>
    </row>
    <row r="1934" customFormat="false" ht="15" hidden="false" customHeight="false" outlineLevel="0" collapsed="false">
      <c r="A1934" s="87" t="n">
        <v>1933</v>
      </c>
      <c r="B1934" s="87" t="s">
        <v>13</v>
      </c>
      <c r="C1934" s="87" t="s">
        <v>8198</v>
      </c>
      <c r="D1934" s="87" t="s">
        <v>8199</v>
      </c>
      <c r="E1934" s="88" t="s">
        <v>8200</v>
      </c>
      <c r="F1934" s="87" t="s">
        <v>8201</v>
      </c>
      <c r="G1934" s="87" t="s">
        <v>237</v>
      </c>
      <c r="H1934" s="87"/>
    </row>
    <row r="1935" customFormat="false" ht="15" hidden="false" customHeight="false" outlineLevel="0" collapsed="false">
      <c r="A1935" s="87" t="n">
        <v>1934</v>
      </c>
      <c r="B1935" s="87" t="s">
        <v>13</v>
      </c>
      <c r="C1935" s="87" t="s">
        <v>2345</v>
      </c>
      <c r="D1935" s="87" t="s">
        <v>8202</v>
      </c>
      <c r="E1935" s="88" t="s">
        <v>8203</v>
      </c>
      <c r="F1935" s="87" t="s">
        <v>8204</v>
      </c>
      <c r="G1935" s="87" t="s">
        <v>237</v>
      </c>
      <c r="H1935" s="87"/>
    </row>
    <row r="1936" customFormat="false" ht="15" hidden="false" customHeight="false" outlineLevel="0" collapsed="false">
      <c r="A1936" s="87" t="n">
        <v>1935</v>
      </c>
      <c r="B1936" s="87" t="s">
        <v>13</v>
      </c>
      <c r="C1936" s="87" t="s">
        <v>8205</v>
      </c>
      <c r="D1936" s="87" t="s">
        <v>8206</v>
      </c>
      <c r="E1936" s="88" t="s">
        <v>8207</v>
      </c>
      <c r="F1936" s="87" t="s">
        <v>8208</v>
      </c>
      <c r="G1936" s="87" t="s">
        <v>237</v>
      </c>
      <c r="H1936" s="87"/>
    </row>
    <row r="1937" customFormat="false" ht="15" hidden="false" customHeight="false" outlineLevel="0" collapsed="false">
      <c r="A1937" s="87" t="n">
        <v>1936</v>
      </c>
      <c r="B1937" s="87" t="s">
        <v>13</v>
      </c>
      <c r="C1937" s="87" t="s">
        <v>8209</v>
      </c>
      <c r="D1937" s="87" t="s">
        <v>8210</v>
      </c>
      <c r="E1937" s="88" t="s">
        <v>8211</v>
      </c>
      <c r="F1937" s="87" t="s">
        <v>8212</v>
      </c>
      <c r="G1937" s="87" t="s">
        <v>237</v>
      </c>
      <c r="H1937" s="87"/>
    </row>
    <row r="1938" customFormat="false" ht="15" hidden="false" customHeight="false" outlineLevel="0" collapsed="false">
      <c r="A1938" s="87" t="n">
        <v>1937</v>
      </c>
      <c r="B1938" s="87" t="s">
        <v>13</v>
      </c>
      <c r="C1938" s="87" t="s">
        <v>8213</v>
      </c>
      <c r="D1938" s="87" t="s">
        <v>2311</v>
      </c>
      <c r="E1938" s="88" t="s">
        <v>8214</v>
      </c>
      <c r="F1938" s="87" t="s">
        <v>8215</v>
      </c>
      <c r="G1938" s="87" t="s">
        <v>237</v>
      </c>
      <c r="H1938" s="87"/>
    </row>
    <row r="1939" customFormat="false" ht="15" hidden="false" customHeight="false" outlineLevel="0" collapsed="false">
      <c r="A1939" s="87" t="n">
        <v>1938</v>
      </c>
      <c r="B1939" s="87" t="s">
        <v>13</v>
      </c>
      <c r="C1939" s="87" t="s">
        <v>2314</v>
      </c>
      <c r="D1939" s="87" t="s">
        <v>2315</v>
      </c>
      <c r="E1939" s="88" t="s">
        <v>8216</v>
      </c>
      <c r="F1939" s="87" t="s">
        <v>8217</v>
      </c>
      <c r="G1939" s="87" t="s">
        <v>237</v>
      </c>
      <c r="H1939" s="87"/>
    </row>
    <row r="1940" customFormat="false" ht="15" hidden="false" customHeight="false" outlineLevel="0" collapsed="false">
      <c r="A1940" s="87" t="n">
        <v>1939</v>
      </c>
      <c r="B1940" s="87" t="s">
        <v>13</v>
      </c>
      <c r="C1940" s="87" t="s">
        <v>2302</v>
      </c>
      <c r="D1940" s="87" t="s">
        <v>8218</v>
      </c>
      <c r="E1940" s="88" t="s">
        <v>8219</v>
      </c>
      <c r="F1940" s="87" t="s">
        <v>8220</v>
      </c>
      <c r="G1940" s="87" t="s">
        <v>237</v>
      </c>
      <c r="H1940" s="87"/>
    </row>
    <row r="1941" customFormat="false" ht="15" hidden="false" customHeight="false" outlineLevel="0" collapsed="false">
      <c r="A1941" s="87" t="n">
        <v>1940</v>
      </c>
      <c r="B1941" s="87" t="s">
        <v>13</v>
      </c>
      <c r="C1941" s="87" t="s">
        <v>1033</v>
      </c>
      <c r="D1941" s="87" t="s">
        <v>1034</v>
      </c>
      <c r="E1941" s="88" t="s">
        <v>8221</v>
      </c>
      <c r="F1941" s="87" t="s">
        <v>8222</v>
      </c>
      <c r="G1941" s="87" t="s">
        <v>237</v>
      </c>
      <c r="H1941" s="87"/>
    </row>
    <row r="1942" customFormat="false" ht="15" hidden="false" customHeight="false" outlineLevel="0" collapsed="false">
      <c r="A1942" s="87" t="n">
        <v>1941</v>
      </c>
      <c r="B1942" s="87" t="s">
        <v>13</v>
      </c>
      <c r="C1942" s="87" t="s">
        <v>8223</v>
      </c>
      <c r="D1942" s="87" t="s">
        <v>8224</v>
      </c>
      <c r="E1942" s="88" t="s">
        <v>8225</v>
      </c>
      <c r="F1942" s="87" t="s">
        <v>8226</v>
      </c>
      <c r="G1942" s="87" t="s">
        <v>237</v>
      </c>
      <c r="H1942" s="87"/>
    </row>
    <row r="1943" customFormat="false" ht="15" hidden="false" customHeight="false" outlineLevel="0" collapsed="false">
      <c r="A1943" s="87" t="n">
        <v>1942</v>
      </c>
      <c r="B1943" s="87" t="s">
        <v>13</v>
      </c>
      <c r="C1943" s="87" t="s">
        <v>8227</v>
      </c>
      <c r="D1943" s="87" t="s">
        <v>8228</v>
      </c>
      <c r="E1943" s="88" t="s">
        <v>8229</v>
      </c>
      <c r="F1943" s="87" t="s">
        <v>8230</v>
      </c>
      <c r="G1943" s="87" t="s">
        <v>237</v>
      </c>
      <c r="H1943" s="87"/>
    </row>
    <row r="1944" customFormat="false" ht="15" hidden="false" customHeight="false" outlineLevel="0" collapsed="false">
      <c r="A1944" s="87" t="n">
        <v>1943</v>
      </c>
      <c r="B1944" s="87" t="s">
        <v>13</v>
      </c>
      <c r="C1944" s="87" t="s">
        <v>8231</v>
      </c>
      <c r="D1944" s="87" t="s">
        <v>8232</v>
      </c>
      <c r="E1944" s="88" t="s">
        <v>8233</v>
      </c>
      <c r="F1944" s="87" t="s">
        <v>8234</v>
      </c>
      <c r="G1944" s="87" t="s">
        <v>237</v>
      </c>
      <c r="H1944" s="87"/>
    </row>
    <row r="1945" customFormat="false" ht="15" hidden="false" customHeight="false" outlineLevel="0" collapsed="false">
      <c r="A1945" s="87" t="n">
        <v>1944</v>
      </c>
      <c r="B1945" s="87" t="s">
        <v>13</v>
      </c>
      <c r="C1945" s="87" t="s">
        <v>8235</v>
      </c>
      <c r="D1945" s="87" t="s">
        <v>8236</v>
      </c>
      <c r="E1945" s="88" t="s">
        <v>8237</v>
      </c>
      <c r="F1945" s="87" t="s">
        <v>8238</v>
      </c>
      <c r="G1945" s="87" t="s">
        <v>237</v>
      </c>
      <c r="H1945" s="87" t="s">
        <v>8239</v>
      </c>
    </row>
    <row r="1946" customFormat="false" ht="15" hidden="false" customHeight="false" outlineLevel="0" collapsed="false">
      <c r="A1946" s="87" t="n">
        <v>1945</v>
      </c>
      <c r="B1946" s="87" t="s">
        <v>13</v>
      </c>
      <c r="C1946" s="87" t="s">
        <v>8240</v>
      </c>
      <c r="D1946" s="87" t="s">
        <v>8241</v>
      </c>
      <c r="E1946" s="88" t="s">
        <v>8242</v>
      </c>
      <c r="F1946" s="87" t="s">
        <v>8243</v>
      </c>
      <c r="G1946" s="87" t="s">
        <v>237</v>
      </c>
      <c r="H1946" s="87"/>
    </row>
    <row r="1947" customFormat="false" ht="15" hidden="false" customHeight="false" outlineLevel="0" collapsed="false">
      <c r="A1947" s="87" t="n">
        <v>1946</v>
      </c>
      <c r="B1947" s="87" t="s">
        <v>13</v>
      </c>
      <c r="C1947" s="87" t="s">
        <v>8244</v>
      </c>
      <c r="D1947" s="87" t="s">
        <v>8245</v>
      </c>
      <c r="E1947" s="88" t="s">
        <v>8246</v>
      </c>
      <c r="F1947" s="87" t="s">
        <v>8247</v>
      </c>
      <c r="G1947" s="87" t="s">
        <v>237</v>
      </c>
      <c r="H1947" s="87"/>
    </row>
    <row r="1948" customFormat="false" ht="15" hidden="false" customHeight="false" outlineLevel="0" collapsed="false">
      <c r="A1948" s="87" t="n">
        <v>1947</v>
      </c>
      <c r="B1948" s="87" t="s">
        <v>13</v>
      </c>
      <c r="C1948" s="87" t="s">
        <v>8248</v>
      </c>
      <c r="D1948" s="87" t="s">
        <v>8249</v>
      </c>
      <c r="E1948" s="88" t="s">
        <v>8250</v>
      </c>
      <c r="F1948" s="87" t="s">
        <v>8251</v>
      </c>
      <c r="G1948" s="87" t="s">
        <v>237</v>
      </c>
      <c r="H1948" s="87"/>
    </row>
    <row r="1949" customFormat="false" ht="15" hidden="false" customHeight="false" outlineLevel="0" collapsed="false">
      <c r="A1949" s="87" t="n">
        <v>1948</v>
      </c>
      <c r="B1949" s="87" t="s">
        <v>13</v>
      </c>
      <c r="C1949" s="87" t="s">
        <v>8252</v>
      </c>
      <c r="D1949" s="87" t="s">
        <v>8253</v>
      </c>
      <c r="E1949" s="88" t="s">
        <v>8254</v>
      </c>
      <c r="F1949" s="87" t="s">
        <v>8255</v>
      </c>
      <c r="G1949" s="87" t="s">
        <v>237</v>
      </c>
      <c r="H1949" s="87"/>
    </row>
    <row r="1950" customFormat="false" ht="15" hidden="false" customHeight="false" outlineLevel="0" collapsed="false">
      <c r="A1950" s="87" t="n">
        <v>1949</v>
      </c>
      <c r="B1950" s="87" t="s">
        <v>13</v>
      </c>
      <c r="C1950" s="87" t="s">
        <v>1142</v>
      </c>
      <c r="D1950" s="87" t="s">
        <v>1143</v>
      </c>
      <c r="E1950" s="88" t="s">
        <v>8256</v>
      </c>
      <c r="F1950" s="87" t="s">
        <v>8257</v>
      </c>
      <c r="G1950" s="87" t="s">
        <v>237</v>
      </c>
      <c r="H1950" s="87" t="s">
        <v>8258</v>
      </c>
    </row>
    <row r="1951" customFormat="false" ht="15" hidden="false" customHeight="false" outlineLevel="0" collapsed="false">
      <c r="A1951" s="87" t="n">
        <v>1950</v>
      </c>
      <c r="B1951" s="87" t="s">
        <v>13</v>
      </c>
      <c r="C1951" s="87" t="s">
        <v>1138</v>
      </c>
      <c r="D1951" s="87" t="s">
        <v>8259</v>
      </c>
      <c r="E1951" s="88" t="s">
        <v>1140</v>
      </c>
      <c r="F1951" s="87" t="s">
        <v>1141</v>
      </c>
      <c r="G1951" s="87" t="s">
        <v>237</v>
      </c>
      <c r="H1951" s="87" t="s">
        <v>8260</v>
      </c>
    </row>
    <row r="1952" customFormat="false" ht="15" hidden="false" customHeight="false" outlineLevel="0" collapsed="false">
      <c r="A1952" s="87" t="n">
        <v>1951</v>
      </c>
      <c r="B1952" s="87" t="s">
        <v>13</v>
      </c>
      <c r="C1952" s="87" t="s">
        <v>8261</v>
      </c>
      <c r="D1952" s="87" t="s">
        <v>8262</v>
      </c>
      <c r="E1952" s="88" t="s">
        <v>8263</v>
      </c>
      <c r="F1952" s="87" t="s">
        <v>8264</v>
      </c>
      <c r="G1952" s="87" t="s">
        <v>237</v>
      </c>
      <c r="H1952" s="87"/>
    </row>
    <row r="1953" customFormat="false" ht="15" hidden="false" customHeight="false" outlineLevel="0" collapsed="false">
      <c r="A1953" s="87" t="n">
        <v>1952</v>
      </c>
      <c r="B1953" s="87" t="s">
        <v>13</v>
      </c>
      <c r="C1953" s="87" t="s">
        <v>8265</v>
      </c>
      <c r="D1953" s="87" t="s">
        <v>8266</v>
      </c>
      <c r="E1953" s="88" t="s">
        <v>8267</v>
      </c>
      <c r="F1953" s="87" t="s">
        <v>8268</v>
      </c>
      <c r="G1953" s="87" t="s">
        <v>237</v>
      </c>
      <c r="H1953" s="87"/>
    </row>
    <row r="1954" customFormat="false" ht="15" hidden="false" customHeight="false" outlineLevel="0" collapsed="false">
      <c r="A1954" s="87" t="n">
        <v>1953</v>
      </c>
      <c r="B1954" s="87" t="s">
        <v>13</v>
      </c>
      <c r="C1954" s="87" t="s">
        <v>8269</v>
      </c>
      <c r="D1954" s="87" t="s">
        <v>8270</v>
      </c>
      <c r="E1954" s="88" t="s">
        <v>8271</v>
      </c>
      <c r="F1954" s="87" t="s">
        <v>8272</v>
      </c>
      <c r="G1954" s="87" t="s">
        <v>237</v>
      </c>
      <c r="H1954" s="87" t="s">
        <v>8273</v>
      </c>
    </row>
    <row r="1955" customFormat="false" ht="15" hidden="false" customHeight="false" outlineLevel="0" collapsed="false">
      <c r="A1955" s="87" t="n">
        <v>1954</v>
      </c>
      <c r="B1955" s="87" t="s">
        <v>13</v>
      </c>
      <c r="C1955" s="87" t="s">
        <v>8274</v>
      </c>
      <c r="D1955" s="87" t="s">
        <v>8275</v>
      </c>
      <c r="E1955" s="88" t="s">
        <v>8276</v>
      </c>
      <c r="F1955" s="87" t="s">
        <v>8277</v>
      </c>
      <c r="G1955" s="87" t="s">
        <v>237</v>
      </c>
      <c r="H1955" s="87"/>
    </row>
    <row r="1956" customFormat="false" ht="15" hidden="false" customHeight="false" outlineLevel="0" collapsed="false">
      <c r="A1956" s="87" t="n">
        <v>1955</v>
      </c>
      <c r="B1956" s="87" t="s">
        <v>13</v>
      </c>
      <c r="C1956" s="87" t="s">
        <v>8278</v>
      </c>
      <c r="D1956" s="87" t="s">
        <v>8279</v>
      </c>
      <c r="E1956" s="88" t="s">
        <v>8280</v>
      </c>
      <c r="F1956" s="87" t="s">
        <v>8281</v>
      </c>
      <c r="G1956" s="87" t="s">
        <v>237</v>
      </c>
      <c r="H1956" s="87"/>
    </row>
    <row r="1957" customFormat="false" ht="15" hidden="false" customHeight="false" outlineLevel="0" collapsed="false">
      <c r="A1957" s="87" t="n">
        <v>1956</v>
      </c>
      <c r="B1957" s="87" t="s">
        <v>13</v>
      </c>
      <c r="C1957" s="87" t="s">
        <v>8282</v>
      </c>
      <c r="D1957" s="87" t="s">
        <v>8283</v>
      </c>
      <c r="E1957" s="88" t="s">
        <v>8284</v>
      </c>
      <c r="F1957" s="87" t="s">
        <v>8285</v>
      </c>
      <c r="G1957" s="87" t="s">
        <v>237</v>
      </c>
      <c r="H1957" s="87" t="s">
        <v>8286</v>
      </c>
    </row>
    <row r="1958" customFormat="false" ht="15" hidden="false" customHeight="false" outlineLevel="0" collapsed="false">
      <c r="A1958" s="87" t="n">
        <v>1957</v>
      </c>
      <c r="B1958" s="87" t="s">
        <v>13</v>
      </c>
      <c r="C1958" s="87" t="s">
        <v>8287</v>
      </c>
      <c r="D1958" s="87" t="s">
        <v>8288</v>
      </c>
      <c r="E1958" s="88" t="s">
        <v>8289</v>
      </c>
      <c r="F1958" s="87" t="s">
        <v>8290</v>
      </c>
      <c r="G1958" s="87" t="s">
        <v>237</v>
      </c>
      <c r="H1958" s="87" t="s">
        <v>8291</v>
      </c>
    </row>
    <row r="1959" customFormat="false" ht="15" hidden="false" customHeight="false" outlineLevel="0" collapsed="false">
      <c r="A1959" s="87" t="n">
        <v>1958</v>
      </c>
      <c r="B1959" s="87" t="s">
        <v>13</v>
      </c>
      <c r="C1959" s="87" t="s">
        <v>1060</v>
      </c>
      <c r="D1959" s="87" t="s">
        <v>8292</v>
      </c>
      <c r="E1959" s="88" t="s">
        <v>8293</v>
      </c>
      <c r="F1959" s="87" t="s">
        <v>8294</v>
      </c>
      <c r="G1959" s="87" t="s">
        <v>237</v>
      </c>
      <c r="H1959" s="87" t="s">
        <v>8295</v>
      </c>
    </row>
    <row r="1960" customFormat="false" ht="15" hidden="false" customHeight="false" outlineLevel="0" collapsed="false">
      <c r="A1960" s="87" t="n">
        <v>1959</v>
      </c>
      <c r="B1960" s="87" t="s">
        <v>13</v>
      </c>
      <c r="C1960" s="87" t="s">
        <v>1064</v>
      </c>
      <c r="D1960" s="87" t="s">
        <v>8296</v>
      </c>
      <c r="E1960" s="88" t="s">
        <v>8297</v>
      </c>
      <c r="F1960" s="87" t="s">
        <v>8298</v>
      </c>
      <c r="G1960" s="87" t="s">
        <v>237</v>
      </c>
      <c r="H1960" s="87"/>
    </row>
    <row r="1961" customFormat="false" ht="15" hidden="false" customHeight="false" outlineLevel="0" collapsed="false">
      <c r="A1961" s="87" t="n">
        <v>1960</v>
      </c>
      <c r="B1961" s="87" t="s">
        <v>13</v>
      </c>
      <c r="C1961" s="87" t="s">
        <v>8299</v>
      </c>
      <c r="D1961" s="87" t="s">
        <v>8300</v>
      </c>
      <c r="E1961" s="88" t="s">
        <v>8301</v>
      </c>
      <c r="F1961" s="87" t="s">
        <v>8302</v>
      </c>
      <c r="G1961" s="87" t="s">
        <v>237</v>
      </c>
      <c r="H1961" s="87"/>
    </row>
    <row r="1962" customFormat="false" ht="15" hidden="false" customHeight="false" outlineLevel="0" collapsed="false">
      <c r="A1962" s="87" t="n">
        <v>1961</v>
      </c>
      <c r="B1962" s="87" t="s">
        <v>13</v>
      </c>
      <c r="C1962" s="87" t="s">
        <v>2390</v>
      </c>
      <c r="D1962" s="87" t="s">
        <v>2391</v>
      </c>
      <c r="E1962" s="88" t="s">
        <v>8303</v>
      </c>
      <c r="F1962" s="87" t="s">
        <v>8304</v>
      </c>
      <c r="G1962" s="87" t="s">
        <v>237</v>
      </c>
      <c r="H1962" s="87"/>
    </row>
    <row r="1963" customFormat="false" ht="15" hidden="false" customHeight="false" outlineLevel="0" collapsed="false">
      <c r="A1963" s="87" t="n">
        <v>1962</v>
      </c>
      <c r="B1963" s="87" t="s">
        <v>13</v>
      </c>
      <c r="C1963" s="87" t="s">
        <v>8305</v>
      </c>
      <c r="D1963" s="87" t="s">
        <v>8306</v>
      </c>
      <c r="E1963" s="88" t="s">
        <v>8307</v>
      </c>
      <c r="F1963" s="87" t="s">
        <v>8308</v>
      </c>
      <c r="G1963" s="87" t="s">
        <v>237</v>
      </c>
      <c r="H1963" s="87"/>
    </row>
  </sheetData>
  <autoFilter ref="A1:H19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2026-02-24T03:01:56Z</dcterms:created>
  <dc:creator>openpyxl</dc:creator>
  <dc:description/>
  <dc:language>en-US</dc:language>
  <cp:lastModifiedBy/>
  <dcterms:modified xsi:type="dcterms:W3CDTF">2026-02-24T03:01:58Z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